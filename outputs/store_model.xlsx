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ayroll" sheetId="2" state="visible" r:id="rId2"/>
    <sheet xmlns:r="http://schemas.openxmlformats.org/officeDocument/2006/relationships" name="Store P&amp;L" sheetId="3" state="visible" r:id="rId3"/>
    <sheet xmlns:r="http://schemas.openxmlformats.org/officeDocument/2006/relationships" name="Return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Engine" sheetId="6" state="visible" r:id="rId6"/>
  </sheets>
  <definedNames>
    <definedName name="area_sqft">Inputs!$C$6</definedName>
    <definedName name="area_sqft_low">Inputs!$F$6</definedName>
    <definedName name="area_sqft_high">Inputs!$G$6</definedName>
    <definedName name="mature_sales_density">Inputs!$C$7</definedName>
    <definedName name="mature_sales_density_low">Inputs!$F$7</definedName>
    <definedName name="mature_sales_density_high">Inputs!$G$7</definedName>
    <definedName name="ramp_year1">Inputs!$C$8</definedName>
    <definedName name="ramp_year1_low">Inputs!$F$8</definedName>
    <definedName name="ramp_year1_high">Inputs!$G$8</definedName>
    <definedName name="ramp_year2">Inputs!$C$9</definedName>
    <definedName name="ramp_year2_low">Inputs!$F$9</definedName>
    <definedName name="ramp_year2_high">Inputs!$G$9</definedName>
    <definedName name="sales_growth">Inputs!$C$10</definedName>
    <definedName name="sales_growth_low">Inputs!$F$10</definedName>
    <definedName name="sales_growth_high">Inputs!$G$10</definedName>
    <definedName name="product_gross_margin">Inputs!$C$11</definedName>
    <definedName name="product_gross_margin_low">Inputs!$F$11</definedName>
    <definedName name="product_gross_margin_high">Inputs!$G$11</definedName>
    <definedName name="rent_per_year">Inputs!$C$12</definedName>
    <definedName name="rent_per_year_low">Inputs!$F$12</definedName>
    <definedName name="rent_per_year_high">Inputs!$G$12</definedName>
    <definedName name="rent_review_uplift">Inputs!$C$13</definedName>
    <definedName name="rent_review_uplift_low">Inputs!$F$13</definedName>
    <definedName name="rent_review_uplift_high">Inputs!$G$13</definedName>
    <definedName name="occupancy_other_psf">Inputs!$C$14</definedName>
    <definedName name="occupancy_other_psf_low">Inputs!$F$14</definedName>
    <definedName name="occupancy_other_psf_high">Inputs!$G$14</definedName>
    <definedName name="rateable_value">Inputs!$C$15</definedName>
    <definedName name="rateable_value_low">Inputs!$F$15</definedName>
    <definedName name="rateable_value_high">Inputs!$G$15</definedName>
    <definedName name="other_opex_pct_sales">Inputs!$C$16</definedName>
    <definedName name="other_opex_pct_sales_low">Inputs!$F$16</definedName>
    <definedName name="other_opex_pct_sales_high">Inputs!$G$16</definedName>
    <definedName name="fitout_capex">Inputs!$C$17</definedName>
    <definedName name="fitout_capex_low">Inputs!$F$17</definedName>
    <definedName name="fitout_capex_high">Inputs!$G$17</definedName>
    <definedName name="pre_opening_costs">Inputs!$C$18</definedName>
    <definedName name="pre_opening_costs_low">Inputs!$F$18</definedName>
    <definedName name="pre_opening_costs_high">Inputs!$G$18</definedName>
    <definedName name="stock_pct_sales">Inputs!$C$19</definedName>
    <definedName name="stock_pct_sales_low">Inputs!$F$19</definedName>
    <definedName name="stock_pct_sales_high">Inputs!$G$19</definedName>
    <definedName name="dilapidations_at_exit">Inputs!$C$20</definedName>
    <definedName name="dilapidations_at_exit_low">Inputs!$F$20</definedName>
    <definedName name="dilapidations_at_exit_high">Inputs!$G$20</definedName>
    <definedName name="lease_term_years">Inputs!$C$21</definedName>
    <definedName name="lease_term_years_low">Inputs!$F$21</definedName>
    <definedName name="lease_term_years_high">Inputs!$G$21</definedName>
    <definedName name="discount_rate">Inputs!$C$22</definedName>
    <definedName name="discount_rate_low">Inputs!$F$22</definedName>
    <definedName name="discount_rate_high">Inputs!$G$22</definedName>
    <definedName name="tax_rate">Inputs!$C$23</definedName>
    <definedName name="tax_rate_low">Inputs!$F$23</definedName>
    <definedName name="tax_rate_high">Inputs!$G$23</definedName>
    <definedName name="tax_depreciation_years">Inputs!$C$24</definedName>
    <definedName name="tax_depreciation_years_low">Inputs!$F$24</definedName>
    <definedName name="tax_depreciation_years_high">Inputs!$G$24</definedName>
    <definedName name="wage_inflation">Inputs!$C$25</definedName>
    <definedName name="wage_inflation_low">Inputs!$F$25</definedName>
    <definedName name="wage_inflation_high">Inputs!$G$25</definedName>
    <definedName name="cost_inflation">Inputs!$C$26</definedName>
    <definedName name="cost_inflation_low">Inputs!$F$26</definedName>
    <definedName name="cost_inflation_high">Inputs!$G$26</definedName>
    <definedName name="trading_hours_per_week">Inputs!$C$27</definedName>
    <definedName name="trading_hours_per_week_low">Inputs!$F$27</definedName>
    <definedName name="trading_hours_per_week_high">Inputs!$G$27</definedName>
    <definedName name="floor_cover">Inputs!$C$28</definedName>
    <definedName name="floor_cover_low">Inputs!$F$28</definedName>
    <definedName name="floor_cover_high">Inputs!$G$28</definedName>
    <definedName name="non_trading_hours_per_week">Inputs!$C$29</definedName>
    <definedName name="non_trading_hours_per_week_low">Inputs!$F$29</definedName>
    <definedName name="non_trading_hours_per_week_high">Inputs!$G$29</definedName>
    <definedName name="managers">Inputs!$C$30</definedName>
    <definedName name="managers_low">Inputs!$F$30</definedName>
    <definedName name="managers_high">Inputs!$G$30</definedName>
    <definedName name="manager_floor_hours_per_week">Inputs!$C$31</definedName>
    <definedName name="manager_floor_hours_per_week_low">Inputs!$F$31</definedName>
    <definedName name="manager_floor_hours_per_week_high">Inputs!$G$31</definedName>
    <definedName name="manager_contract_hours_per_week">Inputs!$C$32</definedName>
    <definedName name="manager_contract_hours_per_week_low">Inputs!$F$32</definedName>
    <definedName name="manager_contract_hours_per_week_high">Inputs!$G$32</definedName>
    <definedName name="store_manager_salary">Inputs!$C$33</definedName>
    <definedName name="store_manager_salary_low">Inputs!$F$33</definedName>
    <definedName name="store_manager_salary_high">Inputs!$G$33</definedName>
    <definedName name="assistant_manager_salary">Inputs!$C$34</definedName>
    <definedName name="assistant_manager_salary_low">Inputs!$F$34</definedName>
    <definedName name="assistant_manager_salary_high">Inputs!$G$34</definedName>
    <definedName name="associate_contract_hours_per_week">Inputs!$C$35</definedName>
    <definedName name="associate_contract_hours_per_week_low">Inputs!$F$35</definedName>
    <definedName name="associate_contract_hours_per_week_high">Inputs!$G$35</definedName>
    <definedName name="associate_premium_over_nlw">Inputs!$C$36</definedName>
    <definedName name="associate_premium_over_nlw_low">Inputs!$F$36</definedName>
    <definedName name="associate_premium_over_nlw_high">Inputs!$G$36</definedName>
    <definedName name="variable_hours_per_k_sales">Inputs!$C$37</definedName>
    <definedName name="variable_hours_per_k_sales_low">Inputs!$F$37</definedName>
    <definedName name="variable_hours_per_k_sales_high">Inputs!$G$37</definedName>
    <definedName name="nlw_hourly">Inputs!$C$38</definedName>
    <definedName name="nlw_hourly_low">Inputs!$F$38</definedName>
    <definedName name="nlw_hourly_high">Inputs!$G$38</definedName>
    <definedName name="employer_nic_rate">Inputs!$C$39</definedName>
    <definedName name="employer_nic_rate_low">Inputs!$F$39</definedName>
    <definedName name="employer_nic_rate_high">Inputs!$G$39</definedName>
    <definedName name="nic_secondary_threshold">Inputs!$C$40</definedName>
    <definedName name="nic_secondary_threshold_low">Inputs!$F$40</definedName>
    <definedName name="nic_secondary_threshold_high">Inputs!$G$40</definedName>
    <definedName name="employer_nic_rate_2024_25">Inputs!$C$41</definedName>
    <definedName name="employer_nic_rate_2024_25_low">Inputs!$F$41</definedName>
    <definedName name="employer_nic_rate_2024_25_high">Inputs!$G$41</definedName>
    <definedName name="nic_secondary_threshold_2024_25">Inputs!$C$42</definedName>
    <definedName name="nic_secondary_threshold_2024_25_low">Inputs!$F$42</definedName>
    <definedName name="nic_secondary_threshold_2024_25_high">Inputs!$G$42</definedName>
    <definedName name="pension_employer_rate">Inputs!$C$43</definedName>
    <definedName name="pension_employer_rate_low">Inputs!$F$43</definedName>
    <definedName name="pension_employer_rate_high">Inputs!$G$43</definedName>
    <definedName name="pension_qe_lower">Inputs!$C$44</definedName>
    <definedName name="pension_qe_lower_low">Inputs!$F$44</definedName>
    <definedName name="pension_qe_lower_high">Inputs!$G$44</definedName>
    <definedName name="pension_qe_upper">Inputs!$C$45</definedName>
    <definedName name="pension_qe_upper_low">Inputs!$F$45</definedName>
    <definedName name="pension_qe_upper_high">Inputs!$G$45</definedName>
    <definedName name="pension_trigger">Inputs!$C$46</definedName>
    <definedName name="pension_trigger_low">Inputs!$F$46</definedName>
    <definedName name="pension_trigger_high">Inputs!$G$46</definedName>
    <definedName name="holiday_weeks">Inputs!$C$47</definedName>
    <definedName name="holiday_weeks_low">Inputs!$F$47</definedName>
    <definedName name="holiday_weeks_high">Inputs!$G$47</definedName>
    <definedName name="rates_multiplier_rhl_small">Inputs!$C$48</definedName>
    <definedName name="rates_multiplier_rhl_small_low">Inputs!$F$48</definedName>
    <definedName name="rates_multiplier_rhl_small_high">Inputs!$G$48</definedName>
    <definedName name="rates_multiplier_rhl_standard">Inputs!$C$49</definedName>
    <definedName name="rates_multiplier_rhl_standard_low">Inputs!$F$49</definedName>
    <definedName name="rates_multiplier_rhl_standard_high">Inputs!$G$49</definedName>
    <definedName name="rates_multiplier_high_value">Inputs!$C$50</definedName>
    <definedName name="rates_multiplier_high_value_low">Inputs!$F$50</definedName>
    <definedName name="rates_multiplier_high_value_high">Inputs!$G$50</definedName>
    <definedName name="holiday_uplift">Payroll!$C$5</definedName>
    <definedName name="assoc_rate">Payroll!$C$6</definedName>
    <definedName name="assoc_earnings">Payroll!$C$7</definedName>
    <definedName name="assoc_nic">Payroll!$C$8</definedName>
    <definedName name="assoc_nic_old">Payroll!$C$9</definedName>
    <definedName name="assoc_nic_increase">Payroll!$C$10</definedName>
    <definedName name="assoc_pension">Payroll!$C$11</definedName>
    <definedName name="assoc_cost_per_hour">Payroll!$C$12</definedName>
    <definedName name="sm_cost">Payroll!$C$13</definedName>
    <definedName name="am_cost">Payroll!$C$14</definedName>
    <definedName name="managers_cost">Payroll!$C$15</definedName>
    <definedName name="fixed_assoc_hours_week">Payroll!$C$16</definedName>
    <definedName name="fixed_payroll">Payroll!$C$17</definedName>
    <definedName name="variable_cost_per_k">Payroll!$C$18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;(0.0%);&quot;-&quot;"/>
    <numFmt numFmtId="165" formatCode="#,##0;(#,##0);&quot;-&quot;"/>
    <numFmt numFmtId="166" formatCode="0.0"/>
    <numFmt numFmtId="167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44" customWidth="1" min="4" max="4"/>
    <col width="14" customWidth="1" min="5" max="5"/>
    <col width="12" customWidth="1" min="6" max="6"/>
    <col width="12" customWidth="1" min="7" max="7"/>
    <col width="120" customWidth="1" min="8" max="8"/>
  </cols>
  <sheetData>
    <row r="1">
      <c r="A1" s="1" t="inlineStr">
        <is>
          <t>New-store appraisal: inputs</t>
        </is>
      </c>
    </row>
    <row r="2">
      <c r="A2" s="2" t="inlineStr">
        <is>
          <t>Illustrative and assumption-driven. Mint Velvet store-level data is not public; outputs are not Mint Velvet's store economics. Independent analysis of public filings, not affiliated with or endorsed by Mint Velvet or Sabre Retail Fashion Limited.</t>
        </is>
      </c>
    </row>
    <row r="3">
      <c r="A3" s="2" t="inlineStr">
        <is>
          <t>Blue = input. Basis: SOURCED (public source), FILING_PROXY (derived from the filed accounts; capex, rent and stock proxies are upper bounds), ASSUMPTION (analyst assumption).</t>
        </is>
      </c>
    </row>
    <row r="5">
      <c r="A5" s="3" t="inlineStr">
        <is>
          <t>Section</t>
        </is>
      </c>
      <c r="B5" s="3" t="inlineStr">
        <is>
          <t>Input</t>
        </is>
      </c>
      <c r="C5" s="3" t="inlineStr">
        <is>
          <t>Value</t>
        </is>
      </c>
      <c r="D5" s="3" t="inlineStr">
        <is>
          <t>Unit</t>
        </is>
      </c>
      <c r="E5" s="3" t="inlineStr">
        <is>
          <t>Basis</t>
        </is>
      </c>
      <c r="F5" s="3" t="inlineStr">
        <is>
          <t>Low</t>
        </is>
      </c>
      <c r="G5" s="3" t="inlineStr">
        <is>
          <t>High</t>
        </is>
      </c>
      <c r="H5" s="3" t="inlineStr">
        <is>
          <t>Source / derivation</t>
        </is>
      </c>
    </row>
    <row r="6">
      <c r="A6" t="inlineStr">
        <is>
          <t>store</t>
        </is>
      </c>
      <c r="B6" t="inlineStr">
        <is>
          <t>area_sqft</t>
        </is>
      </c>
      <c r="C6" s="4" t="n">
        <v>1700</v>
      </c>
      <c r="D6" t="inlineStr">
        <is>
          <t>sq ft</t>
        </is>
      </c>
      <c r="E6" t="inlineStr">
        <is>
          <t>SOURCED</t>
        </is>
      </c>
      <c r="F6" s="4" t="n">
        <v>1700</v>
      </c>
      <c r="G6" s="4" t="n">
        <v>1700</v>
      </c>
      <c r="H6" s="5" t="inlineStr">
        <is>
          <t>Store size in the July 2026 Meadowhall signing announcement (TheIndustry.fashion, 29 Jul 2026): https://www.theindustry.fashion/meadowhall-strengthens-fashion-line-up-with-mint-velvet-belstaff-and-michael-kors-deals/</t>
        </is>
      </c>
    </row>
    <row r="7">
      <c r="A7" t="inlineStr">
        <is>
          <t>store</t>
        </is>
      </c>
      <c r="B7" t="inlineStr">
        <is>
          <t>mature_sales_density</t>
        </is>
      </c>
      <c r="C7" s="4" t="n">
        <v>850</v>
      </c>
      <c r="D7" t="inlineStr">
        <is>
          <t>GBP per sq ft per year (year-1 prices)</t>
        </is>
      </c>
      <c r="E7" t="inlineStr">
        <is>
          <t>ASSUMPTION</t>
        </is>
      </c>
      <c r="F7" s="4" t="n">
        <v>600</v>
      </c>
      <c r="G7" s="4" t="n">
        <v>1100</v>
      </c>
      <c r="H7" s="5" t="inlineStr">
        <is>
          <t>No public store-level sales. The model solves for the break-even density, which does not depend on this input; the base value only sets the illustrative NPV.</t>
        </is>
      </c>
    </row>
    <row r="8">
      <c r="A8" t="inlineStr">
        <is>
          <t>store</t>
        </is>
      </c>
      <c r="B8" t="inlineStr">
        <is>
          <t>ramp_year1</t>
        </is>
      </c>
      <c r="C8" s="4" t="n">
        <v>0.8</v>
      </c>
      <c r="D8" t="inlineStr">
        <is>
          <t>share of mature sales</t>
        </is>
      </c>
      <c r="E8" t="inlineStr">
        <is>
          <t>ASSUMPTION</t>
        </is>
      </c>
      <c r="F8" s="4" t="n">
        <v>0.7</v>
      </c>
      <c r="G8" s="4" t="n">
        <v>0.9</v>
      </c>
      <c r="H8" s="5" t="inlineStr">
        <is>
          <t>New-store sales build; year 3 onwards = 100%.</t>
        </is>
      </c>
    </row>
    <row r="9">
      <c r="A9" t="inlineStr">
        <is>
          <t>store</t>
        </is>
      </c>
      <c r="B9" t="inlineStr">
        <is>
          <t>ramp_year2</t>
        </is>
      </c>
      <c r="C9" s="4" t="n">
        <v>0.95</v>
      </c>
      <c r="D9" t="inlineStr">
        <is>
          <t>share of mature sales</t>
        </is>
      </c>
      <c r="E9" t="inlineStr">
        <is>
          <t>ASSUMPTION</t>
        </is>
      </c>
      <c r="F9" s="4" t="n">
        <v>0.9</v>
      </c>
      <c r="G9" s="4" t="n">
        <v>1</v>
      </c>
      <c r="H9" s="5" t="inlineStr">
        <is>
          <t>New-store sales build.</t>
        </is>
      </c>
    </row>
    <row r="10">
      <c r="A10" t="inlineStr">
        <is>
          <t>store</t>
        </is>
      </c>
      <c r="B10" t="inlineStr">
        <is>
          <t>sales_growth</t>
        </is>
      </c>
      <c r="C10" s="4" t="n">
        <v>0.02</v>
      </c>
      <c r="D10" t="inlineStr">
        <is>
          <t>per year, nominal, from year 2</t>
        </is>
      </c>
      <c r="E10" t="inlineStr">
        <is>
          <t>ASSUMPTION</t>
        </is>
      </c>
      <c r="F10" s="4" t="n">
        <v>0</v>
      </c>
      <c r="G10" s="4" t="n">
        <v>0.04</v>
      </c>
      <c r="H10" s="5" t="inlineStr">
        <is>
          <t>Like-for-like price/mix growth on the matured base.</t>
        </is>
      </c>
    </row>
    <row r="11">
      <c r="A11" t="inlineStr">
        <is>
          <t>store</t>
        </is>
      </c>
      <c r="B11" t="inlineStr">
        <is>
          <t>product_gross_margin</t>
        </is>
      </c>
      <c r="C11" s="4" t="n">
        <v>0.7102000000000001</v>
      </c>
      <c r="D11" t="inlineStr">
        <is>
          <t>share of sales</t>
        </is>
      </c>
      <c r="E11" t="inlineStr">
        <is>
          <t>FILING_PROXY</t>
        </is>
      </c>
      <c r="F11" s="4" t="n">
        <v>0.66</v>
      </c>
      <c r="G11" s="4" t="n">
        <v>0.74</v>
      </c>
      <c r="H11" s="5" t="inlineStr">
        <is>
          <t>FY22 accounts note 6 (pdf p.34): 1 - cost of stock expensed 41,639 / turnover 143,675. The only year the filings disclose cost of stock; company-wide (all channels, after markdowns). low/high are ASSUMPTION (+/-4.5pp).</t>
        </is>
      </c>
    </row>
    <row r="12">
      <c r="A12" t="inlineStr">
        <is>
          <t>store</t>
        </is>
      </c>
      <c r="B12" t="inlineStr">
        <is>
          <t>rent_per_year</t>
        </is>
      </c>
      <c r="C12" s="4" t="n">
        <v>95340</v>
      </c>
      <c r="D12" t="inlineStr">
        <is>
          <t>GBP per year</t>
        </is>
      </c>
      <c r="E12" t="inlineStr">
        <is>
          <t>FILING_PROXY</t>
        </is>
      </c>
      <c r="F12" s="4" t="n">
        <v>70000</v>
      </c>
      <c r="G12" s="4" t="n">
        <v>200000</v>
      </c>
      <c r="H12" s="5" t="inlineStr">
        <is>
          <t>FY25 accounts: operating lease rentals 5,053k (note 6, pdf p.33) / 53 standalone stores (strategic report, pdf p.4). Upper bound for an average store: includes head office and any other leased property. low/high are ASSUMPTION; a super-regional mall unit can cost well above the estate average, so high is about 2x the proxy.</t>
        </is>
      </c>
    </row>
    <row r="13">
      <c r="A13" t="inlineStr">
        <is>
          <t>store</t>
        </is>
      </c>
      <c r="B13" t="inlineStr">
        <is>
          <t>rent_review_uplift</t>
        </is>
      </c>
      <c r="C13" s="4" t="n">
        <v>0.1</v>
      </c>
      <c r="D13" t="inlineStr">
        <is>
          <t>one-off uplift at year 6 (five-yearly review)</t>
        </is>
      </c>
      <c r="E13" t="inlineStr">
        <is>
          <t>ASSUMPTION</t>
        </is>
      </c>
      <c r="F13" s="4" t="n">
        <v>0</v>
      </c>
      <c r="G13" s="4" t="n">
        <v>0.2</v>
      </c>
      <c r="H13" s="5" t="inlineStr">
        <is>
          <t>Upward-only review at year 5 anniversary.</t>
        </is>
      </c>
    </row>
    <row r="14">
      <c r="A14" t="inlineStr">
        <is>
          <t>store</t>
        </is>
      </c>
      <c r="B14" t="inlineStr">
        <is>
          <t>occupancy_other_psf</t>
        </is>
      </c>
      <c r="C14" s="4" t="n">
        <v>15</v>
      </c>
      <c r="D14" t="inlineStr">
        <is>
          <t>GBP per sq ft per year</t>
        </is>
      </c>
      <c r="E14" t="inlineStr">
        <is>
          <t>ASSUMPTION</t>
        </is>
      </c>
      <c r="F14" s="4" t="n">
        <v>8</v>
      </c>
      <c r="G14" s="4" t="n">
        <v>25</v>
      </c>
      <c r="H14" s="5" t="inlineStr">
        <is>
          <t>Service charge, insurance, utilities. Indexed at cost_inflation.</t>
        </is>
      </c>
    </row>
    <row r="15">
      <c r="A15" t="inlineStr">
        <is>
          <t>store</t>
        </is>
      </c>
      <c r="B15" t="inlineStr">
        <is>
          <t>rateable_value</t>
        </is>
      </c>
      <c r="C15" s="4" t="n">
        <v>55000</v>
      </c>
      <c r="D15" t="inlineStr">
        <is>
          <t>GBP</t>
        </is>
      </c>
      <c r="E15" t="inlineStr">
        <is>
          <t>ASSUMPTION</t>
        </is>
      </c>
      <c r="F15" s="4" t="n">
        <v>40000</v>
      </c>
      <c r="G15" s="4" t="n">
        <v>90000</v>
      </c>
      <c r="H15" s="5" t="inlineStr">
        <is>
          <t>Replace with the unit's entry on the VOA 2026 rating list. Rates = RV x the 2026/27 RHL multiplier for its band (payroll_and_tax section).</t>
        </is>
      </c>
    </row>
    <row r="16">
      <c r="A16" t="inlineStr">
        <is>
          <t>store</t>
        </is>
      </c>
      <c r="B16" t="inlineStr">
        <is>
          <t>other_opex_pct_sales</t>
        </is>
      </c>
      <c r="C16" s="4" t="n">
        <v>0.1</v>
      </c>
      <c r="D16" t="inlineStr">
        <is>
          <t>share of sales</t>
        </is>
      </c>
      <c r="E16" t="inlineStr">
        <is>
          <t>ASSUMPTION</t>
        </is>
      </c>
      <c r="F16" s="4" t="n">
        <v>0.06</v>
      </c>
      <c r="G16" s="4" t="n">
        <v>0.15</v>
      </c>
      <c r="H16" s="5" t="inlineStr">
        <is>
          <t>Allowance for distribution to store, shrinkage, card fees, store marketing, repairs, cleaning, security and store systems. Not a benchmark. The filings put all retail-channel costs other than staff, rent and D&amp;A in one pool (bridge 'other operating costs'), which cannot be split to store level.</t>
        </is>
      </c>
    </row>
    <row r="17">
      <c r="A17" t="inlineStr">
        <is>
          <t>store</t>
        </is>
      </c>
      <c r="B17" t="inlineStr">
        <is>
          <t>fitout_capex</t>
        </is>
      </c>
      <c r="C17" s="4" t="n">
        <v>528000</v>
      </c>
      <c r="D17" t="inlineStr">
        <is>
          <t>GBP at opening</t>
        </is>
      </c>
      <c r="E17" t="inlineStr">
        <is>
          <t>FILING_PROXY</t>
        </is>
      </c>
      <c r="F17" s="4" t="n">
        <v>323333</v>
      </c>
      <c r="G17" s="4" t="n">
        <v>931500</v>
      </c>
      <c r="H17" s="5" t="inlineStr">
        <is>
          <t>FY24 accounts: tangible additions 2,640k (note 14, pdf p.37) / 5 projects (3 openings + 2 relocations, pdf p.4). Upper bound: additions also include refits, IT and head-office capex. low = FY22 (1,940k / 6 openings), high = FY23 (3,726k / 4 openings).</t>
        </is>
      </c>
    </row>
    <row r="18">
      <c r="A18" t="inlineStr">
        <is>
          <t>store</t>
        </is>
      </c>
      <c r="B18" t="inlineStr">
        <is>
          <t>pre_opening_costs</t>
        </is>
      </c>
      <c r="C18" s="4" t="n">
        <v>30000</v>
      </c>
      <c r="D18" t="inlineStr">
        <is>
          <t>GBP at opening, expensed</t>
        </is>
      </c>
      <c r="E18" t="inlineStr">
        <is>
          <t>ASSUMPTION</t>
        </is>
      </c>
      <c r="F18" s="4" t="n">
        <v>15000</v>
      </c>
      <c r="G18" s="4" t="n">
        <v>50000</v>
      </c>
      <c r="H18" s="5" t="inlineStr">
        <is>
          <t>Recruitment, training, launch marketing.</t>
        </is>
      </c>
    </row>
    <row r="19">
      <c r="A19" t="inlineStr">
        <is>
          <t>store</t>
        </is>
      </c>
      <c r="B19" t="inlineStr">
        <is>
          <t>stock_pct_sales</t>
        </is>
      </c>
      <c r="C19" s="4" t="n">
        <v>0.09959999999999999</v>
      </c>
      <c r="D19" t="inlineStr">
        <is>
          <t>stock held as share of annual sales</t>
        </is>
      </c>
      <c r="E19" t="inlineStr">
        <is>
          <t>FILING_PROXY</t>
        </is>
      </c>
      <c r="F19" s="4" t="n">
        <v>0.0819</v>
      </c>
      <c r="G19" s="4" t="n">
        <v>0.1242</v>
      </c>
      <c r="H19" s="5" t="inlineStr">
        <is>
          <t>FY25 accounts: stocks 14,964k / turnover 150,240k (pdf p.20, p.18). Company-wide incl. warehouse and online stock, so an upper bound for one store. low = FY23, high = FY24. Released at lease end.</t>
        </is>
      </c>
    </row>
    <row r="20">
      <c r="A20" t="inlineStr">
        <is>
          <t>store</t>
        </is>
      </c>
      <c r="B20" t="inlineStr">
        <is>
          <t>dilapidations_at_exit</t>
        </is>
      </c>
      <c r="C20" s="4" t="n">
        <v>26604</v>
      </c>
      <c r="D20" t="inlineStr">
        <is>
          <t>GBP at lease end</t>
        </is>
      </c>
      <c r="E20" t="inlineStr">
        <is>
          <t>FILING_PROXY</t>
        </is>
      </c>
      <c r="F20" s="4" t="n">
        <v>8271</v>
      </c>
      <c r="G20" s="4" t="n">
        <v>40000</v>
      </c>
      <c r="H20" s="5" t="inlineStr">
        <is>
          <t>FY25 accounts: dilapidations provision 1,410k (note 3, pdf p.32) / 53 standalone stores. low = FY22 (397k / 48). high is ASSUMPTION.</t>
        </is>
      </c>
    </row>
    <row r="21">
      <c r="A21" t="inlineStr">
        <is>
          <t>store</t>
        </is>
      </c>
      <c r="B21" t="inlineStr">
        <is>
          <t>lease_term_years</t>
        </is>
      </c>
      <c r="C21" s="4" t="n">
        <v>10</v>
      </c>
      <c r="D21" t="inlineStr">
        <is>
          <t>years</t>
        </is>
      </c>
      <c r="E21" t="inlineStr">
        <is>
          <t>ASSUMPTION</t>
        </is>
      </c>
      <c r="F21" s="4" t="n">
        <v>5</v>
      </c>
      <c r="G21" s="4" t="n">
        <v>15</v>
      </c>
      <c r="H21" s="5" t="inlineStr">
        <is>
          <t>No terminal value beyond the lease term. Lease-term sensitivity shows the cost of a break at year 5.</t>
        </is>
      </c>
    </row>
    <row r="22">
      <c r="A22" t="inlineStr">
        <is>
          <t>finance</t>
        </is>
      </c>
      <c r="B22" t="inlineStr">
        <is>
          <t>discount_rate</t>
        </is>
      </c>
      <c r="C22" s="4" t="n">
        <v>0.1</v>
      </c>
      <c r="D22" t="inlineStr">
        <is>
          <t>nominal post-tax</t>
        </is>
      </c>
      <c r="E22" t="inlineStr">
        <is>
          <t>ASSUMPTION</t>
        </is>
      </c>
      <c r="F22" s="4" t="n">
        <v>0.08</v>
      </c>
      <c r="G22" s="4" t="n">
        <v>0.14</v>
      </c>
      <c r="H22" s="5" t="inlineStr">
        <is>
          <t>Hurdle rate for store capex; replace with the company's own.</t>
        </is>
      </c>
    </row>
    <row r="23">
      <c r="A23" t="inlineStr">
        <is>
          <t>finance</t>
        </is>
      </c>
      <c r="B23" t="inlineStr">
        <is>
          <t>tax_rate</t>
        </is>
      </c>
      <c r="C23" s="4" t="n">
        <v>0.25</v>
      </c>
      <c r="D23" t="inlineStr">
        <is>
          <t>corporation tax main rate</t>
        </is>
      </c>
      <c r="E23" t="inlineStr">
        <is>
          <t>SOURCED</t>
        </is>
      </c>
      <c r="F23" s="4" t="n">
        <v>0.25</v>
      </c>
      <c r="G23" s="4" t="n">
        <v>0.25</v>
      </c>
      <c r="H23" s="5" t="inlineStr">
        <is>
          <t>UK corporation tax main rate 25% from 1 April 2023 (also stated in FY25 accounts note 11): https://www.gov.uk/corporation-tax-rates</t>
        </is>
      </c>
    </row>
    <row r="24">
      <c r="A24" t="inlineStr">
        <is>
          <t>finance</t>
        </is>
      </c>
      <c r="B24" t="inlineStr">
        <is>
          <t>tax_depreciation_years</t>
        </is>
      </c>
      <c r="C24" s="4" t="n">
        <v>10</v>
      </c>
      <c r="D24" t="inlineStr">
        <is>
          <t>years, straight line</t>
        </is>
      </c>
      <c r="E24" t="inlineStr">
        <is>
          <t>ASSUMPTION</t>
        </is>
      </c>
      <c r="F24" s="4" t="n">
        <v>10</v>
      </c>
      <c r="G24" s="4" t="n">
        <v>10</v>
      </c>
      <c r="H24" s="5" t="inlineStr">
        <is>
          <t>Simplification: fit-out relief spread over the lease. Full expensing on qualifying plant would accelerate relief and raise NPV. Store losses assumed relieved against group profits.</t>
        </is>
      </c>
    </row>
    <row r="25">
      <c r="A25" t="inlineStr">
        <is>
          <t>finance</t>
        </is>
      </c>
      <c r="B25" t="inlineStr">
        <is>
          <t>wage_inflation</t>
        </is>
      </c>
      <c r="C25" s="4" t="n">
        <v>0.04</v>
      </c>
      <c r="D25" t="inlineStr">
        <is>
          <t>per year</t>
        </is>
      </c>
      <c r="E25" t="inlineStr">
        <is>
          <t>ASSUMPTION</t>
        </is>
      </c>
      <c r="F25" s="4" t="n">
        <v>0.025</v>
      </c>
      <c r="G25" s="4" t="n">
        <v>0.06</v>
      </c>
      <c r="H25" s="5" t="inlineStr">
        <is>
          <t>NLW rose 4.1% in April 2026 (GOV.UK); assumed to continue near that pace.</t>
        </is>
      </c>
    </row>
    <row r="26">
      <c r="A26" t="inlineStr">
        <is>
          <t>finance</t>
        </is>
      </c>
      <c r="B26" t="inlineStr">
        <is>
          <t>cost_inflation</t>
        </is>
      </c>
      <c r="C26" s="4" t="n">
        <v>0.025</v>
      </c>
      <c r="D26" t="inlineStr">
        <is>
          <t>per year</t>
        </is>
      </c>
      <c r="E26" t="inlineStr">
        <is>
          <t>ASSUMPTION</t>
        </is>
      </c>
      <c r="F26" s="4" t="n">
        <v>0.015</v>
      </c>
      <c r="G26" s="4" t="n">
        <v>0.04</v>
      </c>
      <c r="H26" s="5" t="inlineStr">
        <is>
          <t>Indexation of rates and other occupancy costs.</t>
        </is>
      </c>
    </row>
    <row r="27">
      <c r="A27" t="inlineStr">
        <is>
          <t>payroll</t>
        </is>
      </c>
      <c r="B27" t="inlineStr">
        <is>
          <t>trading_hours_per_week</t>
        </is>
      </c>
      <c r="C27" s="4" t="n">
        <v>64</v>
      </c>
      <c r="D27" t="inlineStr">
        <is>
          <t>hours</t>
        </is>
      </c>
      <c r="E27" t="inlineStr">
        <is>
          <t>ASSUMPTION</t>
        </is>
      </c>
      <c r="F27" s="4" t="n">
        <v>58</v>
      </c>
      <c r="G27" s="4" t="n">
        <v>72</v>
      </c>
      <c r="H27" s="5" t="inlineStr">
        <is>
          <t>Regional mall opening hours incl. late nights and Sunday.</t>
        </is>
      </c>
    </row>
    <row r="28">
      <c r="A28" t="inlineStr">
        <is>
          <t>payroll</t>
        </is>
      </c>
      <c r="B28" t="inlineStr">
        <is>
          <t>floor_cover</t>
        </is>
      </c>
      <c r="C28" s="4" t="n">
        <v>2</v>
      </c>
      <c r="D28" t="inlineStr">
        <is>
          <t>staff on the floor at all trading hours</t>
        </is>
      </c>
      <c r="E28" t="inlineStr">
        <is>
          <t>ASSUMPTION</t>
        </is>
      </c>
      <c r="F28" s="4" t="n">
        <v>2</v>
      </c>
      <c r="G28" s="4" t="n">
        <v>3</v>
      </c>
      <c r="H28" s="5" t="inlineStr">
        <is>
          <t>Minimum safe cover for a 1,700 sq ft unit.</t>
        </is>
      </c>
    </row>
    <row r="29">
      <c r="A29" t="inlineStr">
        <is>
          <t>payroll</t>
        </is>
      </c>
      <c r="B29" t="inlineStr">
        <is>
          <t>non_trading_hours_per_week</t>
        </is>
      </c>
      <c r="C29" s="4" t="n">
        <v>16</v>
      </c>
      <c r="D29" t="inlineStr">
        <is>
          <t>staff hours</t>
        </is>
      </c>
      <c r="E29" t="inlineStr">
        <is>
          <t>ASSUMPTION</t>
        </is>
      </c>
      <c r="F29" s="4" t="n">
        <v>8</v>
      </c>
      <c r="G29" s="4" t="n">
        <v>24</v>
      </c>
      <c r="H29" s="5" t="inlineStr">
        <is>
          <t>Opening, closing, deliveries, replenishment.</t>
        </is>
      </c>
    </row>
    <row r="30">
      <c r="A30" t="inlineStr">
        <is>
          <t>payroll</t>
        </is>
      </c>
      <c r="B30" t="inlineStr">
        <is>
          <t>managers</t>
        </is>
      </c>
      <c r="C30" s="4" t="n">
        <v>2</v>
      </c>
      <c r="D30" t="inlineStr">
        <is>
          <t>salaried managers (store + assistant)</t>
        </is>
      </c>
      <c r="E30" t="inlineStr">
        <is>
          <t>ASSUMPTION</t>
        </is>
      </c>
      <c r="F30" s="4" t="n">
        <v>2</v>
      </c>
      <c r="G30" s="4" t="n">
        <v>2</v>
      </c>
      <c r="H30" s="5" t="inlineStr">
        <is>
          <t>Store manager and assistant manager.</t>
        </is>
      </c>
    </row>
    <row r="31">
      <c r="A31" t="inlineStr">
        <is>
          <t>payroll</t>
        </is>
      </c>
      <c r="B31" t="inlineStr">
        <is>
          <t>manager_floor_hours_per_week</t>
        </is>
      </c>
      <c r="C31" s="4" t="n">
        <v>30</v>
      </c>
      <c r="D31" t="inlineStr">
        <is>
          <t>hours per manager counted toward floor cover</t>
        </is>
      </c>
      <c r="E31" t="inlineStr">
        <is>
          <t>ASSUMPTION</t>
        </is>
      </c>
      <c r="F31" s="4" t="n">
        <v>25</v>
      </c>
      <c r="G31" s="4" t="n">
        <v>35</v>
      </c>
      <c r="H31" s="5" t="inlineStr">
        <is>
          <t>Contracted 40 hours, of which 30 on the floor.</t>
        </is>
      </c>
    </row>
    <row r="32">
      <c r="A32" t="inlineStr">
        <is>
          <t>payroll</t>
        </is>
      </c>
      <c r="B32" t="inlineStr">
        <is>
          <t>manager_contract_hours_per_week</t>
        </is>
      </c>
      <c r="C32" s="4" t="n">
        <v>40</v>
      </c>
      <c r="D32" t="inlineStr">
        <is>
          <t>hours</t>
        </is>
      </c>
      <c r="E32" t="inlineStr">
        <is>
          <t>ASSUMPTION</t>
        </is>
      </c>
      <c r="F32" s="4" t="n">
        <v>40</v>
      </c>
      <c r="G32" s="4" t="n">
        <v>40</v>
      </c>
      <c r="H32" s="5" t="inlineStr">
        <is>
          <t>Used for sales per labour hour.</t>
        </is>
      </c>
    </row>
    <row r="33">
      <c r="A33" t="inlineStr">
        <is>
          <t>payroll</t>
        </is>
      </c>
      <c r="B33" t="inlineStr">
        <is>
          <t>store_manager_salary</t>
        </is>
      </c>
      <c r="C33" s="4" t="n">
        <v>36000</v>
      </c>
      <c r="D33" t="inlineStr">
        <is>
          <t>GBP per year</t>
        </is>
      </c>
      <c r="E33" t="inlineStr">
        <is>
          <t>ASSUMPTION</t>
        </is>
      </c>
      <c r="F33" s="4" t="n">
        <v>32000</v>
      </c>
      <c r="G33" s="4" t="n">
        <v>42000</v>
      </c>
      <c r="H33" s="5" t="inlineStr">
        <is>
          <t>Base salary, before employer on-costs.</t>
        </is>
      </c>
    </row>
    <row r="34">
      <c r="A34" t="inlineStr">
        <is>
          <t>payroll</t>
        </is>
      </c>
      <c r="B34" t="inlineStr">
        <is>
          <t>assistant_manager_salary</t>
        </is>
      </c>
      <c r="C34" s="4" t="n">
        <v>28000</v>
      </c>
      <c r="D34" t="inlineStr">
        <is>
          <t>GBP per year</t>
        </is>
      </c>
      <c r="E34" t="inlineStr">
        <is>
          <t>ASSUMPTION</t>
        </is>
      </c>
      <c r="F34" s="4" t="n">
        <v>25000</v>
      </c>
      <c r="G34" s="4" t="n">
        <v>31000</v>
      </c>
      <c r="H34" s="5" t="inlineStr">
        <is>
          <t>Base salary, before employer on-costs.</t>
        </is>
      </c>
    </row>
    <row r="35">
      <c r="A35" t="inlineStr">
        <is>
          <t>payroll</t>
        </is>
      </c>
      <c r="B35" t="inlineStr">
        <is>
          <t>associate_contract_hours_per_week</t>
        </is>
      </c>
      <c r="C35" s="4" t="n">
        <v>20</v>
      </c>
      <c r="D35" t="inlineStr">
        <is>
          <t>hours</t>
        </is>
      </c>
      <c r="E35" t="inlineStr">
        <is>
          <t>ASSUMPTION</t>
        </is>
      </c>
      <c r="F35" s="4" t="n">
        <v>16</v>
      </c>
      <c r="G35" s="4" t="n">
        <v>30</v>
      </c>
      <c r="H35" s="5" t="inlineStr">
        <is>
          <t>Part-time contracts; sets earnings per head, which drives NIC and pension thresholds.</t>
        </is>
      </c>
    </row>
    <row r="36">
      <c r="A36" t="inlineStr">
        <is>
          <t>payroll</t>
        </is>
      </c>
      <c r="B36" t="inlineStr">
        <is>
          <t>associate_premium_over_nlw</t>
        </is>
      </c>
      <c r="C36" s="4" t="n">
        <v>0.05</v>
      </c>
      <c r="D36" t="inlineStr">
        <is>
          <t>share above NLW</t>
        </is>
      </c>
      <c r="E36" t="inlineStr">
        <is>
          <t>ASSUMPTION</t>
        </is>
      </c>
      <c r="F36" s="4" t="n">
        <v>0</v>
      </c>
      <c r="G36" s="4" t="n">
        <v>0.15</v>
      </c>
      <c r="H36" s="5" t="inlineStr">
        <is>
          <t>Premium-brand sales associate rate.</t>
        </is>
      </c>
    </row>
    <row r="37">
      <c r="A37" t="inlineStr">
        <is>
          <t>payroll</t>
        </is>
      </c>
      <c r="B37" t="inlineStr">
        <is>
          <t>variable_hours_per_k_sales</t>
        </is>
      </c>
      <c r="C37" s="4" t="n">
        <v>1.5</v>
      </c>
      <c r="D37" t="inlineStr">
        <is>
          <t>associate hours per GBP 1,000 of mature sales (year-1 prices)</t>
        </is>
      </c>
      <c r="E37" t="inlineStr">
        <is>
          <t>ASSUMPTION</t>
        </is>
      </c>
      <c r="F37" s="4" t="n">
        <v>1</v>
      </c>
      <c r="G37" s="4" t="n">
        <v>2</v>
      </c>
      <c r="H37" s="5" t="inlineStr">
        <is>
          <t>Hours added above minimum cover as sales volume rises.</t>
        </is>
      </c>
    </row>
    <row r="38">
      <c r="A38" t="inlineStr">
        <is>
          <t>payroll_and_tax</t>
        </is>
      </c>
      <c r="B38" t="inlineStr">
        <is>
          <t>nlw_hourly</t>
        </is>
      </c>
      <c r="C38" s="4" t="n">
        <v>12.71</v>
      </c>
      <c r="D38" t="inlineStr">
        <is>
          <t>GBP per hour, age 21+, from 1 April 2026</t>
        </is>
      </c>
      <c r="E38" t="inlineStr">
        <is>
          <t>SOURCED</t>
        </is>
      </c>
      <c r="F38" s="4" t="n">
        <v>12.71</v>
      </c>
      <c r="G38" s="4" t="n">
        <v>12.71</v>
      </c>
      <c r="H38" s="5" t="inlineStr">
        <is>
          <t>https://www.gov.uk/guidance/rates-and-thresholds-for-employers-2026-to-2027</t>
        </is>
      </c>
    </row>
    <row r="39">
      <c r="A39" t="inlineStr">
        <is>
          <t>payroll_and_tax</t>
        </is>
      </c>
      <c r="B39" t="inlineStr">
        <is>
          <t>employer_nic_rate</t>
        </is>
      </c>
      <c r="C39" s="4" t="n">
        <v>0.15</v>
      </c>
      <c r="D39" t="inlineStr">
        <is>
          <t>Class 1 secondary rate, 2026/27</t>
        </is>
      </c>
      <c r="E39" t="inlineStr">
        <is>
          <t>SOURCED</t>
        </is>
      </c>
      <c r="F39" s="4" t="n">
        <v>0.15</v>
      </c>
      <c r="G39" s="4" t="n">
        <v>0.15</v>
      </c>
      <c r="H39" s="5" t="inlineStr">
        <is>
          <t>https://www.gov.uk/guidance/rates-and-thresholds-for-employers-2026-to-2027</t>
        </is>
      </c>
    </row>
    <row r="40">
      <c r="A40" t="inlineStr">
        <is>
          <t>payroll_and_tax</t>
        </is>
      </c>
      <c r="B40" t="inlineStr">
        <is>
          <t>nic_secondary_threshold</t>
        </is>
      </c>
      <c r="C40" s="4" t="n">
        <v>5000</v>
      </c>
      <c r="D40" t="inlineStr">
        <is>
          <t>GBP per year, 2026/27</t>
        </is>
      </c>
      <c r="E40" t="inlineStr">
        <is>
          <t>SOURCED</t>
        </is>
      </c>
      <c r="F40" s="4" t="n">
        <v>5000</v>
      </c>
      <c r="G40" s="4" t="n">
        <v>5000</v>
      </c>
      <c r="H40" s="5" t="inlineStr">
        <is>
          <t>https://www.gov.uk/guidance/rates-and-thresholds-for-employers-2026-to-2027</t>
        </is>
      </c>
    </row>
    <row r="41">
      <c r="A41" t="inlineStr">
        <is>
          <t>payroll_and_tax</t>
        </is>
      </c>
      <c r="B41" t="inlineStr">
        <is>
          <t>employer_nic_rate_2024_25</t>
        </is>
      </c>
      <c r="C41" s="4" t="n">
        <v>0.138</v>
      </c>
      <c r="D41" t="inlineStr">
        <is>
          <t>Class 1 secondary rate before 6 April 2025 (comparison only)</t>
        </is>
      </c>
      <c r="E41" t="inlineStr">
        <is>
          <t>SOURCED</t>
        </is>
      </c>
      <c r="F41" s="4" t="n">
        <v>0.138</v>
      </c>
      <c r="G41" s="4" t="n">
        <v>0.138</v>
      </c>
      <c r="H41" s="5" t="inlineStr">
        <is>
          <t>https://www.gov.uk/guidance/rates-and-thresholds-for-employers-2024-to-2025</t>
        </is>
      </c>
    </row>
    <row r="42">
      <c r="A42" t="inlineStr">
        <is>
          <t>payroll_and_tax</t>
        </is>
      </c>
      <c r="B42" t="inlineStr">
        <is>
          <t>nic_secondary_threshold_2024_25</t>
        </is>
      </c>
      <c r="C42" s="4" t="n">
        <v>9100</v>
      </c>
      <c r="D42" t="inlineStr">
        <is>
          <t>GBP per year before 6 April 2025 (comparison only)</t>
        </is>
      </c>
      <c r="E42" t="inlineStr">
        <is>
          <t>SOURCED</t>
        </is>
      </c>
      <c r="F42" s="4" t="n">
        <v>9100</v>
      </c>
      <c r="G42" s="4" t="n">
        <v>9100</v>
      </c>
      <c r="H42" s="5" t="inlineStr">
        <is>
          <t>https://www.gov.uk/guidance/rates-and-thresholds-for-employers-2024-to-2025</t>
        </is>
      </c>
    </row>
    <row r="43">
      <c r="A43" t="inlineStr">
        <is>
          <t>payroll_and_tax</t>
        </is>
      </c>
      <c r="B43" t="inlineStr">
        <is>
          <t>pension_employer_rate</t>
        </is>
      </c>
      <c r="C43" s="4" t="n">
        <v>0.03</v>
      </c>
      <c r="D43" t="inlineStr">
        <is>
          <t>minimum employer contribution on qualifying earnings</t>
        </is>
      </c>
      <c r="E43" t="inlineStr">
        <is>
          <t>SOURCED</t>
        </is>
      </c>
      <c r="F43" s="4" t="n">
        <v>0.03</v>
      </c>
      <c r="G43" s="4" t="n">
        <v>0.03</v>
      </c>
      <c r="H43" s="5" t="inlineStr">
        <is>
          <t>https://www.gov.uk/workplace-pensions/what-you-your-employer-and-the-government-pay</t>
        </is>
      </c>
    </row>
    <row r="44">
      <c r="A44" t="inlineStr">
        <is>
          <t>payroll_and_tax</t>
        </is>
      </c>
      <c r="B44" t="inlineStr">
        <is>
          <t>pension_qe_lower</t>
        </is>
      </c>
      <c r="C44" s="4" t="n">
        <v>6240</v>
      </c>
      <c r="D44" t="inlineStr">
        <is>
          <t>GBP per year, 2026/27 (frozen)</t>
        </is>
      </c>
      <c r="E44" t="inlineStr">
        <is>
          <t>SOURCED</t>
        </is>
      </c>
      <c r="F44" s="4" t="n">
        <v>6240</v>
      </c>
      <c r="G44" s="4" t="n">
        <v>6240</v>
      </c>
      <c r="H44" s="5" t="inlineStr">
        <is>
          <t>https://www.gov.uk/government/publications/review-of-the-automatic-enrolment-earnings-trigger-and-qualifying-earnings-band-for-202627/review-of-the-automatic-enrolment-earnings-trigger-and-qualifying-earnings-band-for-202627</t>
        </is>
      </c>
    </row>
    <row r="45">
      <c r="A45" t="inlineStr">
        <is>
          <t>payroll_and_tax</t>
        </is>
      </c>
      <c r="B45" t="inlineStr">
        <is>
          <t>pension_qe_upper</t>
        </is>
      </c>
      <c r="C45" s="4" t="n">
        <v>50270</v>
      </c>
      <c r="D45" t="inlineStr">
        <is>
          <t>GBP per year, 2026/27 (frozen)</t>
        </is>
      </c>
      <c r="E45" t="inlineStr">
        <is>
          <t>SOURCED</t>
        </is>
      </c>
      <c r="F45" s="4" t="n">
        <v>50270</v>
      </c>
      <c r="G45" s="4" t="n">
        <v>50270</v>
      </c>
      <c r="H45" s="5" t="inlineStr">
        <is>
          <t>https://www.gov.uk/government/publications/review-of-the-automatic-enrolment-earnings-trigger-and-qualifying-earnings-band-for-202627/review-of-the-automatic-enrolment-earnings-trigger-and-qualifying-earnings-band-for-202627</t>
        </is>
      </c>
    </row>
    <row r="46">
      <c r="A46" t="inlineStr">
        <is>
          <t>payroll_and_tax</t>
        </is>
      </c>
      <c r="B46" t="inlineStr">
        <is>
          <t>pension_trigger</t>
        </is>
      </c>
      <c r="C46" s="4" t="n">
        <v>10000</v>
      </c>
      <c r="D46" t="inlineStr">
        <is>
          <t>GBP per year, auto-enrolment earnings trigger 2026/27 (frozen)</t>
        </is>
      </c>
      <c r="E46" t="inlineStr">
        <is>
          <t>SOURCED</t>
        </is>
      </c>
      <c r="F46" s="4" t="n">
        <v>10000</v>
      </c>
      <c r="G46" s="4" t="n">
        <v>10000</v>
      </c>
      <c r="H46" s="5" t="inlineStr">
        <is>
          <t>https://www.gov.uk/government/publications/review-of-the-automatic-enrolment-earnings-trigger-and-qualifying-earnings-band-for-202627/review-of-the-automatic-enrolment-earnings-trigger-and-qualifying-earnings-band-for-202627</t>
        </is>
      </c>
    </row>
    <row r="47">
      <c r="A47" t="inlineStr">
        <is>
          <t>payroll_and_tax</t>
        </is>
      </c>
      <c r="B47" t="inlineStr">
        <is>
          <t>holiday_weeks</t>
        </is>
      </c>
      <c r="C47" s="4" t="n">
        <v>5.6</v>
      </c>
      <c r="D47" t="inlineStr">
        <is>
          <t>statutory weeks per year</t>
        </is>
      </c>
      <c r="E47" t="inlineStr">
        <is>
          <t>SOURCED</t>
        </is>
      </c>
      <c r="F47" s="4" t="n">
        <v>5.6</v>
      </c>
      <c r="G47" s="4" t="n">
        <v>5.6</v>
      </c>
      <c r="H47" s="5" t="inlineStr">
        <is>
          <t>https://www.gov.uk/holiday-entitlement-rights. Cost uplift per hour worked = 5.6 / (52 - 5.6) = 12.07%.</t>
        </is>
      </c>
    </row>
    <row r="48">
      <c r="A48" t="inlineStr">
        <is>
          <t>payroll_and_tax</t>
        </is>
      </c>
      <c r="B48" t="inlineStr">
        <is>
          <t>rates_multiplier_rhl_small</t>
        </is>
      </c>
      <c r="C48" s="4" t="n">
        <v>0.382</v>
      </c>
      <c r="D48" t="inlineStr">
        <is>
          <t>GBP per GBP of RV, retail/hospitality/leisure, RV below 51,000, 2026/27</t>
        </is>
      </c>
      <c r="E48" t="inlineStr">
        <is>
          <t>SOURCED</t>
        </is>
      </c>
      <c r="F48" s="4" t="n">
        <v>0.382</v>
      </c>
      <c r="G48" s="4" t="n">
        <v>0.382</v>
      </c>
      <c r="H48" s="5" t="inlineStr">
        <is>
          <t>England 2026/27 multipliers, e.g. https://www.spelthorne.gov.uk/page/661/business-rates-multipliers-20262027</t>
        </is>
      </c>
    </row>
    <row r="49">
      <c r="A49" t="inlineStr">
        <is>
          <t>payroll_and_tax</t>
        </is>
      </c>
      <c r="B49" t="inlineStr">
        <is>
          <t>rates_multiplier_rhl_standard</t>
        </is>
      </c>
      <c r="C49" s="4" t="n">
        <v>0.43</v>
      </c>
      <c r="D49" t="inlineStr">
        <is>
          <t>GBP per GBP of RV, RHL, RV 51,000 to 499,999, 2026/27</t>
        </is>
      </c>
      <c r="E49" t="inlineStr">
        <is>
          <t>SOURCED</t>
        </is>
      </c>
      <c r="F49" s="4" t="n">
        <v>0.43</v>
      </c>
      <c r="G49" s="4" t="n">
        <v>0.43</v>
      </c>
      <c r="H49" s="5" t="inlineStr">
        <is>
          <t>England 2026/27 multipliers, e.g. https://www.spelthorne.gov.uk/page/661/business-rates-multipliers-20262027</t>
        </is>
      </c>
    </row>
    <row r="50">
      <c r="A50" t="inlineStr">
        <is>
          <t>payroll_and_tax</t>
        </is>
      </c>
      <c r="B50" t="inlineStr">
        <is>
          <t>rates_multiplier_high_value</t>
        </is>
      </c>
      <c r="C50" s="4" t="n">
        <v>0.508</v>
      </c>
      <c r="D50" t="inlineStr">
        <is>
          <t>GBP per GBP of RV, all properties RV 500,000+, 2026/27</t>
        </is>
      </c>
      <c r="E50" t="inlineStr">
        <is>
          <t>SOURCED</t>
        </is>
      </c>
      <c r="F50" s="4" t="n">
        <v>0.508</v>
      </c>
      <c r="G50" s="4" t="n">
        <v>0.508</v>
      </c>
      <c r="H50" s="5" t="inlineStr">
        <is>
          <t>England 2026/27 multipliers, e.g. https://www.spelthorne.gov.uk/page/661/business-rates-multipliers-20262027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14" customWidth="1" min="3" max="3"/>
  </cols>
  <sheetData>
    <row r="1">
      <c r="A1" s="1" t="inlineStr">
        <is>
          <t>Bottom-up store payroll (year-1 prices, 2026/27 statutory rates)</t>
        </is>
      </c>
    </row>
    <row r="2">
      <c r="A2" s="2" t="inlineStr">
        <is>
          <t>Associates: part-time contracts at NLW plus premium; managers salaried. Fixed hours cover the floor across trading hours; variable hours scale with sales volume.</t>
        </is>
      </c>
    </row>
    <row r="4">
      <c r="A4" s="3" t="inlineStr">
        <is>
          <t>Item</t>
        </is>
      </c>
      <c r="B4" s="3" t="inlineStr">
        <is>
          <t>Description</t>
        </is>
      </c>
      <c r="C4" s="3" t="inlineStr">
        <is>
          <t>Value</t>
        </is>
      </c>
    </row>
    <row r="5">
      <c r="A5" t="inlineStr">
        <is>
          <t>holiday_uplift</t>
        </is>
      </c>
      <c r="B5" t="inlineStr">
        <is>
          <t>Holiday pay uplift per hour worked</t>
        </is>
      </c>
      <c r="C5" s="6">
        <f>holiday_weeks/(52-holiday_weeks)</f>
        <v/>
      </c>
    </row>
    <row r="6">
      <c r="A6" t="inlineStr">
        <is>
          <t>assoc_rate</t>
        </is>
      </c>
      <c r="B6" t="inlineStr">
        <is>
          <t>Associate hourly rate</t>
        </is>
      </c>
      <c r="C6" s="7">
        <f>nlw_hourly*(1+associate_premium_over_nlw)</f>
        <v/>
      </c>
    </row>
    <row r="7">
      <c r="A7" t="inlineStr">
        <is>
          <t>assoc_earnings</t>
        </is>
      </c>
      <c r="B7" t="inlineStr">
        <is>
          <t>Associate annual earnings (incl. holiday pay)</t>
        </is>
      </c>
      <c r="C7" s="8">
        <f>associate_contract_hours_per_week*52*assoc_rate*(1+holiday_uplift)</f>
        <v/>
      </c>
    </row>
    <row r="8">
      <c r="A8" t="inlineStr">
        <is>
          <t>assoc_nic</t>
        </is>
      </c>
      <c r="B8" t="inlineStr">
        <is>
          <t>Employer NIC per associate, 2026/27</t>
        </is>
      </c>
      <c r="C8" s="8">
        <f>employer_nic_rate*MAX(0,assoc_earnings-nic_secondary_threshold)</f>
        <v/>
      </c>
    </row>
    <row r="9">
      <c r="A9" t="inlineStr">
        <is>
          <t>assoc_nic_old</t>
        </is>
      </c>
      <c r="B9" t="inlineStr">
        <is>
          <t>Employer NIC per associate under 2024/25 rules (comparison)</t>
        </is>
      </c>
      <c r="C9" s="8">
        <f>employer_nic_rate_2024_25*MAX(0,assoc_earnings-nic_secondary_threshold_2024_25)</f>
        <v/>
      </c>
    </row>
    <row r="10">
      <c r="A10" t="inlineStr">
        <is>
          <t>assoc_nic_increase</t>
        </is>
      </c>
      <c r="B10" t="inlineStr">
        <is>
          <t>Increase in employer NIC per associate</t>
        </is>
      </c>
      <c r="C10" s="6">
        <f>assoc_nic/assoc_nic_old-1</f>
        <v/>
      </c>
    </row>
    <row r="11">
      <c r="A11" t="inlineStr">
        <is>
          <t>assoc_pension</t>
        </is>
      </c>
      <c r="B11" t="inlineStr">
        <is>
          <t>Employer pension per associate</t>
        </is>
      </c>
      <c r="C11" s="8">
        <f>IF(assoc_earnings&lt;pension_trigger,0,pension_employer_rate*MAX(0,MIN(assoc_earnings,pension_qe_upper)-pension_qe_lower))</f>
        <v/>
      </c>
    </row>
    <row r="12">
      <c r="A12" t="inlineStr">
        <is>
          <t>assoc_cost_per_hour</t>
        </is>
      </c>
      <c r="B12" t="inlineStr">
        <is>
          <t>Associate cost per hour worked (pay, holiday, NIC, pension)</t>
        </is>
      </c>
      <c r="C12" s="7">
        <f>(assoc_earnings+assoc_nic+assoc_pension)/(associate_contract_hours_per_week*52)</f>
        <v/>
      </c>
    </row>
    <row r="13">
      <c r="A13" t="inlineStr">
        <is>
          <t>sm_cost</t>
        </is>
      </c>
      <c r="B13" t="inlineStr">
        <is>
          <t>Store manager total cost</t>
        </is>
      </c>
      <c r="C13" s="8">
        <f>store_manager_salary+employer_nic_rate*MAX(0,store_manager_salary-nic_secondary_threshold)+IF(store_manager_salary&lt;pension_trigger,0,pension_employer_rate*MAX(0,MIN(store_manager_salary,pension_qe_upper)-pension_qe_lower))</f>
        <v/>
      </c>
    </row>
    <row r="14">
      <c r="A14" t="inlineStr">
        <is>
          <t>am_cost</t>
        </is>
      </c>
      <c r="B14" t="inlineStr">
        <is>
          <t>Assistant manager total cost</t>
        </is>
      </c>
      <c r="C14" s="8">
        <f>assistant_manager_salary+employer_nic_rate*MAX(0,assistant_manager_salary-nic_secondary_threshold)+IF(assistant_manager_salary&lt;pension_trigger,0,pension_employer_rate*MAX(0,MIN(assistant_manager_salary,pension_qe_upper)-pension_qe_lower))</f>
        <v/>
      </c>
    </row>
    <row r="15">
      <c r="A15" t="inlineStr">
        <is>
          <t>managers_cost</t>
        </is>
      </c>
      <c r="B15" t="inlineStr">
        <is>
          <t>Managers total cost</t>
        </is>
      </c>
      <c r="C15" s="8">
        <f>IF(managers&gt;=1,sm_cost,0)+IF(managers&gt;=2,am_cost,0)</f>
        <v/>
      </c>
    </row>
    <row r="16">
      <c r="A16" t="inlineStr">
        <is>
          <t>fixed_assoc_hours_week</t>
        </is>
      </c>
      <c r="B16" t="inlineStr">
        <is>
          <t>Fixed associate hours per week</t>
        </is>
      </c>
      <c r="C16" s="9">
        <f>MAX(0,trading_hours_per_week*floor_cover+non_trading_hours_per_week-managers*manager_floor_hours_per_week)</f>
        <v/>
      </c>
    </row>
    <row r="17">
      <c r="A17" t="inlineStr">
        <is>
          <t>fixed_payroll</t>
        </is>
      </c>
      <c r="B17" t="inlineStr">
        <is>
          <t>Fixed payroll per year</t>
        </is>
      </c>
      <c r="C17" s="8">
        <f>managers_cost+fixed_assoc_hours_week*52*assoc_cost_per_hour</f>
        <v/>
      </c>
    </row>
    <row r="18">
      <c r="A18" t="inlineStr">
        <is>
          <t>variable_cost_per_k</t>
        </is>
      </c>
      <c r="B18" t="inlineStr">
        <is>
          <t>Variable payroll per GBP 1,000 of sales volume</t>
        </is>
      </c>
      <c r="C18" s="7">
        <f>variable_hours_per_k_sales*assoc_cost_per_hour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Base case: store 4-wall P&amp;L and cash flow (GBP, nominal)</t>
        </is>
      </c>
    </row>
    <row r="2">
      <c r="A2" s="2" t="inlineStr">
        <is>
          <t>Illustrative and assumption-driven. Mint Velvet store-level data is not public; outputs are not Mint Velvet's store economics. Independent analysis of public filings, not affiliated with or endorsed by Mint Velvet or Sabre Retail Fashion Limited.</t>
        </is>
      </c>
    </row>
    <row r="4">
      <c r="A4" s="10" t="inlineStr">
        <is>
          <t>Base case</t>
        </is>
      </c>
    </row>
    <row r="5">
      <c r="A5" t="inlineStr">
        <is>
          <t>param: density</t>
        </is>
      </c>
      <c r="B5">
        <f>mature_sales_density</f>
        <v/>
      </c>
    </row>
    <row r="6">
      <c r="A6" t="inlineStr">
        <is>
          <t>param: gm</t>
        </is>
      </c>
      <c r="B6">
        <f>product_gross_margin</f>
        <v/>
      </c>
    </row>
    <row r="7">
      <c r="A7" t="inlineStr">
        <is>
          <t>param: rent</t>
        </is>
      </c>
      <c r="B7">
        <f>rent_per_year</f>
        <v/>
      </c>
    </row>
    <row r="8">
      <c r="A8" t="inlineStr">
        <is>
          <t>param: capex</t>
        </is>
      </c>
      <c r="B8">
        <f>fitout_capex</f>
        <v/>
      </c>
    </row>
    <row r="9">
      <c r="A9" t="inlineStr">
        <is>
          <t>param: ramp1</t>
        </is>
      </c>
      <c r="B9">
        <f>ramp_year1</f>
        <v/>
      </c>
    </row>
    <row r="10">
      <c r="A10" t="inlineStr">
        <is>
          <t>param: ramp2</t>
        </is>
      </c>
      <c r="B10">
        <f>ramp_year2</f>
        <v/>
      </c>
    </row>
    <row r="11">
      <c r="A11" t="inlineStr">
        <is>
          <t>param: rent_mult</t>
        </is>
      </c>
      <c r="B11" t="n">
        <v>1</v>
      </c>
    </row>
    <row r="12">
      <c r="A12" t="inlineStr">
        <is>
          <t>param: payroll_mult</t>
        </is>
      </c>
      <c r="B12" t="n">
        <v>1</v>
      </c>
    </row>
    <row r="13">
      <c r="A13" t="inlineStr">
        <is>
          <t>param: ramp_mult</t>
        </is>
      </c>
      <c r="B13" t="n">
        <v>1</v>
      </c>
    </row>
    <row r="15">
      <c r="A15" t="inlineStr">
        <is>
          <t>Year</t>
        </is>
      </c>
      <c r="C15" s="11" t="n">
        <v>0</v>
      </c>
      <c r="D15" s="11" t="n">
        <v>1</v>
      </c>
      <c r="E15" s="11" t="n">
        <v>2</v>
      </c>
      <c r="F15" s="11" t="n">
        <v>3</v>
      </c>
      <c r="G15" s="11" t="n">
        <v>4</v>
      </c>
      <c r="H15" s="11" t="n">
        <v>5</v>
      </c>
      <c r="I15" s="11" t="n">
        <v>6</v>
      </c>
      <c r="J15" s="11" t="n">
        <v>7</v>
      </c>
      <c r="K15" s="11" t="n">
        <v>8</v>
      </c>
      <c r="L15" s="11" t="n">
        <v>9</v>
      </c>
      <c r="M15" s="11" t="n">
        <v>10</v>
      </c>
      <c r="N15" s="11" t="n">
        <v>11</v>
      </c>
      <c r="O15" s="11" t="n">
        <v>12</v>
      </c>
      <c r="P15" s="11" t="n">
        <v>13</v>
      </c>
      <c r="Q15" s="11" t="n">
        <v>14</v>
      </c>
      <c r="R15" s="11" t="n">
        <v>15</v>
      </c>
    </row>
    <row r="16">
      <c r="A16" t="inlineStr">
        <is>
          <t>Trading year flag</t>
        </is>
      </c>
      <c r="C16" s="11">
        <f>IF(AND(C15&gt;=1,C15&lt;=lease_term_years),1,0)</f>
        <v/>
      </c>
      <c r="D16" s="11">
        <f>IF(AND(D15&gt;=1,D15&lt;=lease_term_years),1,0)</f>
        <v/>
      </c>
      <c r="E16" s="11">
        <f>IF(AND(E15&gt;=1,E15&lt;=lease_term_years),1,0)</f>
        <v/>
      </c>
      <c r="F16" s="11">
        <f>IF(AND(F15&gt;=1,F15&lt;=lease_term_years),1,0)</f>
        <v/>
      </c>
      <c r="G16" s="11">
        <f>IF(AND(G15&gt;=1,G15&lt;=lease_term_years),1,0)</f>
        <v/>
      </c>
      <c r="H16" s="11">
        <f>IF(AND(H15&gt;=1,H15&lt;=lease_term_years),1,0)</f>
        <v/>
      </c>
      <c r="I16" s="11">
        <f>IF(AND(I15&gt;=1,I15&lt;=lease_term_years),1,0)</f>
        <v/>
      </c>
      <c r="J16" s="11">
        <f>IF(AND(J15&gt;=1,J15&lt;=lease_term_years),1,0)</f>
        <v/>
      </c>
      <c r="K16" s="11">
        <f>IF(AND(K15&gt;=1,K15&lt;=lease_term_years),1,0)</f>
        <v/>
      </c>
      <c r="L16" s="11">
        <f>IF(AND(L15&gt;=1,L15&lt;=lease_term_years),1,0)</f>
        <v/>
      </c>
      <c r="M16" s="11">
        <f>IF(AND(M15&gt;=1,M15&lt;=lease_term_years),1,0)</f>
        <v/>
      </c>
      <c r="N16" s="11">
        <f>IF(AND(N15&gt;=1,N15&lt;=lease_term_years),1,0)</f>
        <v/>
      </c>
      <c r="O16" s="11">
        <f>IF(AND(O15&gt;=1,O15&lt;=lease_term_years),1,0)</f>
        <v/>
      </c>
      <c r="P16" s="11">
        <f>IF(AND(P15&gt;=1,P15&lt;=lease_term_years),1,0)</f>
        <v/>
      </c>
      <c r="Q16" s="11">
        <f>IF(AND(Q15&gt;=1,Q15&lt;=lease_term_years),1,0)</f>
        <v/>
      </c>
      <c r="R16" s="11">
        <f>IF(AND(R15&gt;=1,R15&lt;=lease_term_years),1,0)</f>
        <v/>
      </c>
    </row>
    <row r="17">
      <c r="A17" t="inlineStr">
        <is>
          <t>Ramp-up (share of mature volume)</t>
        </is>
      </c>
      <c r="C17" s="6">
        <f>IF(C15=1,1-(1-$B$9)*$B$13,IF(C15=2,1-(1-$B$10)*$B$13,1))*C16</f>
        <v/>
      </c>
      <c r="D17" s="6">
        <f>IF(D15=1,1-(1-$B$9)*$B$13,IF(D15=2,1-(1-$B$10)*$B$13,1))*D16</f>
        <v/>
      </c>
      <c r="E17" s="6">
        <f>IF(E15=1,1-(1-$B$9)*$B$13,IF(E15=2,1-(1-$B$10)*$B$13,1))*E16</f>
        <v/>
      </c>
      <c r="F17" s="6">
        <f>IF(F15=1,1-(1-$B$9)*$B$13,IF(F15=2,1-(1-$B$10)*$B$13,1))*F16</f>
        <v/>
      </c>
      <c r="G17" s="6">
        <f>IF(G15=1,1-(1-$B$9)*$B$13,IF(G15=2,1-(1-$B$10)*$B$13,1))*G16</f>
        <v/>
      </c>
      <c r="H17" s="6">
        <f>IF(H15=1,1-(1-$B$9)*$B$13,IF(H15=2,1-(1-$B$10)*$B$13,1))*H16</f>
        <v/>
      </c>
      <c r="I17" s="6">
        <f>IF(I15=1,1-(1-$B$9)*$B$13,IF(I15=2,1-(1-$B$10)*$B$13,1))*I16</f>
        <v/>
      </c>
      <c r="J17" s="6">
        <f>IF(J15=1,1-(1-$B$9)*$B$13,IF(J15=2,1-(1-$B$10)*$B$13,1))*J16</f>
        <v/>
      </c>
      <c r="K17" s="6">
        <f>IF(K15=1,1-(1-$B$9)*$B$13,IF(K15=2,1-(1-$B$10)*$B$13,1))*K16</f>
        <v/>
      </c>
      <c r="L17" s="6">
        <f>IF(L15=1,1-(1-$B$9)*$B$13,IF(L15=2,1-(1-$B$10)*$B$13,1))*L16</f>
        <v/>
      </c>
      <c r="M17" s="6">
        <f>IF(M15=1,1-(1-$B$9)*$B$13,IF(M15=2,1-(1-$B$10)*$B$13,1))*M16</f>
        <v/>
      </c>
      <c r="N17" s="6">
        <f>IF(N15=1,1-(1-$B$9)*$B$13,IF(N15=2,1-(1-$B$10)*$B$13,1))*N16</f>
        <v/>
      </c>
      <c r="O17" s="6">
        <f>IF(O15=1,1-(1-$B$9)*$B$13,IF(O15=2,1-(1-$B$10)*$B$13,1))*O16</f>
        <v/>
      </c>
      <c r="P17" s="6">
        <f>IF(P15=1,1-(1-$B$9)*$B$13,IF(P15=2,1-(1-$B$10)*$B$13,1))*P16</f>
        <v/>
      </c>
      <c r="Q17" s="6">
        <f>IF(Q15=1,1-(1-$B$9)*$B$13,IF(Q15=2,1-(1-$B$10)*$B$13,1))*Q16</f>
        <v/>
      </c>
      <c r="R17" s="6">
        <f>IF(R15=1,1-(1-$B$9)*$B$13,IF(R15=2,1-(1-$B$10)*$B$13,1))*R16</f>
        <v/>
      </c>
    </row>
    <row r="18">
      <c r="A18" t="inlineStr">
        <is>
          <t>Sales volume (year-1 prices)</t>
        </is>
      </c>
      <c r="C18" s="8">
        <f>area_sqft*$B$5*C17</f>
        <v/>
      </c>
      <c r="D18" s="8">
        <f>area_sqft*$B$5*D17</f>
        <v/>
      </c>
      <c r="E18" s="8">
        <f>area_sqft*$B$5*E17</f>
        <v/>
      </c>
      <c r="F18" s="8">
        <f>area_sqft*$B$5*F17</f>
        <v/>
      </c>
      <c r="G18" s="8">
        <f>area_sqft*$B$5*G17</f>
        <v/>
      </c>
      <c r="H18" s="8">
        <f>area_sqft*$B$5*H17</f>
        <v/>
      </c>
      <c r="I18" s="8">
        <f>area_sqft*$B$5*I17</f>
        <v/>
      </c>
      <c r="J18" s="8">
        <f>area_sqft*$B$5*J17</f>
        <v/>
      </c>
      <c r="K18" s="8">
        <f>area_sqft*$B$5*K17</f>
        <v/>
      </c>
      <c r="L18" s="8">
        <f>area_sqft*$B$5*L17</f>
        <v/>
      </c>
      <c r="M18" s="8">
        <f>area_sqft*$B$5*M17</f>
        <v/>
      </c>
      <c r="N18" s="8">
        <f>area_sqft*$B$5*N17</f>
        <v/>
      </c>
      <c r="O18" s="8">
        <f>area_sqft*$B$5*O17</f>
        <v/>
      </c>
      <c r="P18" s="8">
        <f>area_sqft*$B$5*P17</f>
        <v/>
      </c>
      <c r="Q18" s="8">
        <f>area_sqft*$B$5*Q17</f>
        <v/>
      </c>
      <c r="R18" s="8">
        <f>area_sqft*$B$5*R17</f>
        <v/>
      </c>
    </row>
    <row r="19">
      <c r="A19" t="inlineStr">
        <is>
          <t>Sales growth index</t>
        </is>
      </c>
      <c r="C19" s="12">
        <f>IF(C16=1,(1+sales_growth)^(C15-1),0)</f>
        <v/>
      </c>
      <c r="D19" s="12">
        <f>IF(D16=1,(1+sales_growth)^(D15-1),0)</f>
        <v/>
      </c>
      <c r="E19" s="12">
        <f>IF(E16=1,(1+sales_growth)^(E15-1),0)</f>
        <v/>
      </c>
      <c r="F19" s="12">
        <f>IF(F16=1,(1+sales_growth)^(F15-1),0)</f>
        <v/>
      </c>
      <c r="G19" s="12">
        <f>IF(G16=1,(1+sales_growth)^(G15-1),0)</f>
        <v/>
      </c>
      <c r="H19" s="12">
        <f>IF(H16=1,(1+sales_growth)^(H15-1),0)</f>
        <v/>
      </c>
      <c r="I19" s="12">
        <f>IF(I16=1,(1+sales_growth)^(I15-1),0)</f>
        <v/>
      </c>
      <c r="J19" s="12">
        <f>IF(J16=1,(1+sales_growth)^(J15-1),0)</f>
        <v/>
      </c>
      <c r="K19" s="12">
        <f>IF(K16=1,(1+sales_growth)^(K15-1),0)</f>
        <v/>
      </c>
      <c r="L19" s="12">
        <f>IF(L16=1,(1+sales_growth)^(L15-1),0)</f>
        <v/>
      </c>
      <c r="M19" s="12">
        <f>IF(M16=1,(1+sales_growth)^(M15-1),0)</f>
        <v/>
      </c>
      <c r="N19" s="12">
        <f>IF(N16=1,(1+sales_growth)^(N15-1),0)</f>
        <v/>
      </c>
      <c r="O19" s="12">
        <f>IF(O16=1,(1+sales_growth)^(O15-1),0)</f>
        <v/>
      </c>
      <c r="P19" s="12">
        <f>IF(P16=1,(1+sales_growth)^(P15-1),0)</f>
        <v/>
      </c>
      <c r="Q19" s="12">
        <f>IF(Q16=1,(1+sales_growth)^(Q15-1),0)</f>
        <v/>
      </c>
      <c r="R19" s="12">
        <f>IF(R16=1,(1+sales_growth)^(R15-1),0)</f>
        <v/>
      </c>
    </row>
    <row r="20">
      <c r="A20" t="inlineStr">
        <is>
          <t>Sales</t>
        </is>
      </c>
      <c r="C20" s="8">
        <f>C18*C19</f>
        <v/>
      </c>
      <c r="D20" s="8">
        <f>D18*D19</f>
        <v/>
      </c>
      <c r="E20" s="8">
        <f>E18*E19</f>
        <v/>
      </c>
      <c r="F20" s="8">
        <f>F18*F19</f>
        <v/>
      </c>
      <c r="G20" s="8">
        <f>G18*G19</f>
        <v/>
      </c>
      <c r="H20" s="8">
        <f>H18*H19</f>
        <v/>
      </c>
      <c r="I20" s="8">
        <f>I18*I19</f>
        <v/>
      </c>
      <c r="J20" s="8">
        <f>J18*J19</f>
        <v/>
      </c>
      <c r="K20" s="8">
        <f>K18*K19</f>
        <v/>
      </c>
      <c r="L20" s="8">
        <f>L18*L19</f>
        <v/>
      </c>
      <c r="M20" s="8">
        <f>M18*M19</f>
        <v/>
      </c>
      <c r="N20" s="8">
        <f>N18*N19</f>
        <v/>
      </c>
      <c r="O20" s="8">
        <f>O18*O19</f>
        <v/>
      </c>
      <c r="P20" s="8">
        <f>P18*P19</f>
        <v/>
      </c>
      <c r="Q20" s="8">
        <f>Q18*Q19</f>
        <v/>
      </c>
      <c r="R20" s="8">
        <f>R18*R19</f>
        <v/>
      </c>
    </row>
    <row r="21">
      <c r="A21" t="inlineStr">
        <is>
          <t>Gross margin</t>
        </is>
      </c>
      <c r="C21" s="8">
        <f>C20*$B$6</f>
        <v/>
      </c>
      <c r="D21" s="8">
        <f>D20*$B$6</f>
        <v/>
      </c>
      <c r="E21" s="8">
        <f>E20*$B$6</f>
        <v/>
      </c>
      <c r="F21" s="8">
        <f>F20*$B$6</f>
        <v/>
      </c>
      <c r="G21" s="8">
        <f>G20*$B$6</f>
        <v/>
      </c>
      <c r="H21" s="8">
        <f>H20*$B$6</f>
        <v/>
      </c>
      <c r="I21" s="8">
        <f>I20*$B$6</f>
        <v/>
      </c>
      <c r="J21" s="8">
        <f>J20*$B$6</f>
        <v/>
      </c>
      <c r="K21" s="8">
        <f>K20*$B$6</f>
        <v/>
      </c>
      <c r="L21" s="8">
        <f>L20*$B$6</f>
        <v/>
      </c>
      <c r="M21" s="8">
        <f>M20*$B$6</f>
        <v/>
      </c>
      <c r="N21" s="8">
        <f>N20*$B$6</f>
        <v/>
      </c>
      <c r="O21" s="8">
        <f>O20*$B$6</f>
        <v/>
      </c>
      <c r="P21" s="8">
        <f>P20*$B$6</f>
        <v/>
      </c>
      <c r="Q21" s="8">
        <f>Q20*$B$6</f>
        <v/>
      </c>
      <c r="R21" s="8">
        <f>R20*$B$6</f>
        <v/>
      </c>
    </row>
    <row r="22">
      <c r="A22" t="inlineStr">
        <is>
          <t>Wage index</t>
        </is>
      </c>
      <c r="C22" s="12">
        <f>IF(C16=1,(1+wage_inflation)^(C15-1),0)</f>
        <v/>
      </c>
      <c r="D22" s="12">
        <f>IF(D16=1,(1+wage_inflation)^(D15-1),0)</f>
        <v/>
      </c>
      <c r="E22" s="12">
        <f>IF(E16=1,(1+wage_inflation)^(E15-1),0)</f>
        <v/>
      </c>
      <c r="F22" s="12">
        <f>IF(F16=1,(1+wage_inflation)^(F15-1),0)</f>
        <v/>
      </c>
      <c r="G22" s="12">
        <f>IF(G16=1,(1+wage_inflation)^(G15-1),0)</f>
        <v/>
      </c>
      <c r="H22" s="12">
        <f>IF(H16=1,(1+wage_inflation)^(H15-1),0)</f>
        <v/>
      </c>
      <c r="I22" s="12">
        <f>IF(I16=1,(1+wage_inflation)^(I15-1),0)</f>
        <v/>
      </c>
      <c r="J22" s="12">
        <f>IF(J16=1,(1+wage_inflation)^(J15-1),0)</f>
        <v/>
      </c>
      <c r="K22" s="12">
        <f>IF(K16=1,(1+wage_inflation)^(K15-1),0)</f>
        <v/>
      </c>
      <c r="L22" s="12">
        <f>IF(L16=1,(1+wage_inflation)^(L15-1),0)</f>
        <v/>
      </c>
      <c r="M22" s="12">
        <f>IF(M16=1,(1+wage_inflation)^(M15-1),0)</f>
        <v/>
      </c>
      <c r="N22" s="12">
        <f>IF(N16=1,(1+wage_inflation)^(N15-1),0)</f>
        <v/>
      </c>
      <c r="O22" s="12">
        <f>IF(O16=1,(1+wage_inflation)^(O15-1),0)</f>
        <v/>
      </c>
      <c r="P22" s="12">
        <f>IF(P16=1,(1+wage_inflation)^(P15-1),0)</f>
        <v/>
      </c>
      <c r="Q22" s="12">
        <f>IF(Q16=1,(1+wage_inflation)^(Q15-1),0)</f>
        <v/>
      </c>
      <c r="R22" s="12">
        <f>IF(R16=1,(1+wage_inflation)^(R15-1),0)</f>
        <v/>
      </c>
    </row>
    <row r="23">
      <c r="A23" t="inlineStr">
        <is>
          <t>Payroll</t>
        </is>
      </c>
      <c r="C23" s="8">
        <f>(fixed_payroll*C16+variable_cost_per_k*C18/1000)*C22*$B$12</f>
        <v/>
      </c>
      <c r="D23" s="8">
        <f>(fixed_payroll*D16+variable_cost_per_k*D18/1000)*D22*$B$12</f>
        <v/>
      </c>
      <c r="E23" s="8">
        <f>(fixed_payroll*E16+variable_cost_per_k*E18/1000)*E22*$B$12</f>
        <v/>
      </c>
      <c r="F23" s="8">
        <f>(fixed_payroll*F16+variable_cost_per_k*F18/1000)*F22*$B$12</f>
        <v/>
      </c>
      <c r="G23" s="8">
        <f>(fixed_payroll*G16+variable_cost_per_k*G18/1000)*G22*$B$12</f>
        <v/>
      </c>
      <c r="H23" s="8">
        <f>(fixed_payroll*H16+variable_cost_per_k*H18/1000)*H22*$B$12</f>
        <v/>
      </c>
      <c r="I23" s="8">
        <f>(fixed_payroll*I16+variable_cost_per_k*I18/1000)*I22*$B$12</f>
        <v/>
      </c>
      <c r="J23" s="8">
        <f>(fixed_payroll*J16+variable_cost_per_k*J18/1000)*J22*$B$12</f>
        <v/>
      </c>
      <c r="K23" s="8">
        <f>(fixed_payroll*K16+variable_cost_per_k*K18/1000)*K22*$B$12</f>
        <v/>
      </c>
      <c r="L23" s="8">
        <f>(fixed_payroll*L16+variable_cost_per_k*L18/1000)*L22*$B$12</f>
        <v/>
      </c>
      <c r="M23" s="8">
        <f>(fixed_payroll*M16+variable_cost_per_k*M18/1000)*M22*$B$12</f>
        <v/>
      </c>
      <c r="N23" s="8">
        <f>(fixed_payroll*N16+variable_cost_per_k*N18/1000)*N22*$B$12</f>
        <v/>
      </c>
      <c r="O23" s="8">
        <f>(fixed_payroll*O16+variable_cost_per_k*O18/1000)*O22*$B$12</f>
        <v/>
      </c>
      <c r="P23" s="8">
        <f>(fixed_payroll*P16+variable_cost_per_k*P18/1000)*P22*$B$12</f>
        <v/>
      </c>
      <c r="Q23" s="8">
        <f>(fixed_payroll*Q16+variable_cost_per_k*Q18/1000)*Q22*$B$12</f>
        <v/>
      </c>
      <c r="R23" s="8">
        <f>(fixed_payroll*R16+variable_cost_per_k*R18/1000)*R22*$B$12</f>
        <v/>
      </c>
    </row>
    <row r="24">
      <c r="A24" t="inlineStr">
        <is>
          <t>Rent</t>
        </is>
      </c>
      <c r="C24" s="8">
        <f>$B$7*(1+IF(C15&gt;=6,rent_review_uplift,0))*C16*$B$11</f>
        <v/>
      </c>
      <c r="D24" s="8">
        <f>$B$7*(1+IF(D15&gt;=6,rent_review_uplift,0))*D16*$B$11</f>
        <v/>
      </c>
      <c r="E24" s="8">
        <f>$B$7*(1+IF(E15&gt;=6,rent_review_uplift,0))*E16*$B$11</f>
        <v/>
      </c>
      <c r="F24" s="8">
        <f>$B$7*(1+IF(F15&gt;=6,rent_review_uplift,0))*F16*$B$11</f>
        <v/>
      </c>
      <c r="G24" s="8">
        <f>$B$7*(1+IF(G15&gt;=6,rent_review_uplift,0))*G16*$B$11</f>
        <v/>
      </c>
      <c r="H24" s="8">
        <f>$B$7*(1+IF(H15&gt;=6,rent_review_uplift,0))*H16*$B$11</f>
        <v/>
      </c>
      <c r="I24" s="8">
        <f>$B$7*(1+IF(I15&gt;=6,rent_review_uplift,0))*I16*$B$11</f>
        <v/>
      </c>
      <c r="J24" s="8">
        <f>$B$7*(1+IF(J15&gt;=6,rent_review_uplift,0))*J16*$B$11</f>
        <v/>
      </c>
      <c r="K24" s="8">
        <f>$B$7*(1+IF(K15&gt;=6,rent_review_uplift,0))*K16*$B$11</f>
        <v/>
      </c>
      <c r="L24" s="8">
        <f>$B$7*(1+IF(L15&gt;=6,rent_review_uplift,0))*L16*$B$11</f>
        <v/>
      </c>
      <c r="M24" s="8">
        <f>$B$7*(1+IF(M15&gt;=6,rent_review_uplift,0))*M16*$B$11</f>
        <v/>
      </c>
      <c r="N24" s="8">
        <f>$B$7*(1+IF(N15&gt;=6,rent_review_uplift,0))*N16*$B$11</f>
        <v/>
      </c>
      <c r="O24" s="8">
        <f>$B$7*(1+IF(O15&gt;=6,rent_review_uplift,0))*O16*$B$11</f>
        <v/>
      </c>
      <c r="P24" s="8">
        <f>$B$7*(1+IF(P15&gt;=6,rent_review_uplift,0))*P16*$B$11</f>
        <v/>
      </c>
      <c r="Q24" s="8">
        <f>$B$7*(1+IF(Q15&gt;=6,rent_review_uplift,0))*Q16*$B$11</f>
        <v/>
      </c>
      <c r="R24" s="8">
        <f>$B$7*(1+IF(R15&gt;=6,rent_review_uplift,0))*R16*$B$11</f>
        <v/>
      </c>
    </row>
    <row r="25">
      <c r="A25" t="inlineStr">
        <is>
          <t>Cost index</t>
        </is>
      </c>
      <c r="C25" s="12">
        <f>IF(C16=1,(1+cost_inflation)^(C15-1),0)</f>
        <v/>
      </c>
      <c r="D25" s="12">
        <f>IF(D16=1,(1+cost_inflation)^(D15-1),0)</f>
        <v/>
      </c>
      <c r="E25" s="12">
        <f>IF(E16=1,(1+cost_inflation)^(E15-1),0)</f>
        <v/>
      </c>
      <c r="F25" s="12">
        <f>IF(F16=1,(1+cost_inflation)^(F15-1),0)</f>
        <v/>
      </c>
      <c r="G25" s="12">
        <f>IF(G16=1,(1+cost_inflation)^(G15-1),0)</f>
        <v/>
      </c>
      <c r="H25" s="12">
        <f>IF(H16=1,(1+cost_inflation)^(H15-1),0)</f>
        <v/>
      </c>
      <c r="I25" s="12">
        <f>IF(I16=1,(1+cost_inflation)^(I15-1),0)</f>
        <v/>
      </c>
      <c r="J25" s="12">
        <f>IF(J16=1,(1+cost_inflation)^(J15-1),0)</f>
        <v/>
      </c>
      <c r="K25" s="12">
        <f>IF(K16=1,(1+cost_inflation)^(K15-1),0)</f>
        <v/>
      </c>
      <c r="L25" s="12">
        <f>IF(L16=1,(1+cost_inflation)^(L15-1),0)</f>
        <v/>
      </c>
      <c r="M25" s="12">
        <f>IF(M16=1,(1+cost_inflation)^(M15-1),0)</f>
        <v/>
      </c>
      <c r="N25" s="12">
        <f>IF(N16=1,(1+cost_inflation)^(N15-1),0)</f>
        <v/>
      </c>
      <c r="O25" s="12">
        <f>IF(O16=1,(1+cost_inflation)^(O15-1),0)</f>
        <v/>
      </c>
      <c r="P25" s="12">
        <f>IF(P16=1,(1+cost_inflation)^(P15-1),0)</f>
        <v/>
      </c>
      <c r="Q25" s="12">
        <f>IF(Q16=1,(1+cost_inflation)^(Q15-1),0)</f>
        <v/>
      </c>
      <c r="R25" s="12">
        <f>IF(R16=1,(1+cost_inflation)^(R15-1),0)</f>
        <v/>
      </c>
    </row>
    <row r="26">
      <c r="A26" t="inlineStr">
        <is>
          <t>Business rates</t>
        </is>
      </c>
      <c r="C26" s="8">
        <f>rateable_value*IF(rateable_value&lt;51000,rates_multiplier_rhl_small,IF(rateable_value&lt;500000,rates_multiplier_rhl_standard,rates_multiplier_high_value))*C25</f>
        <v/>
      </c>
      <c r="D26" s="8">
        <f>rateable_value*IF(rateable_value&lt;51000,rates_multiplier_rhl_small,IF(rateable_value&lt;500000,rates_multiplier_rhl_standard,rates_multiplier_high_value))*D25</f>
        <v/>
      </c>
      <c r="E26" s="8">
        <f>rateable_value*IF(rateable_value&lt;51000,rates_multiplier_rhl_small,IF(rateable_value&lt;500000,rates_multiplier_rhl_standard,rates_multiplier_high_value))*E25</f>
        <v/>
      </c>
      <c r="F26" s="8">
        <f>rateable_value*IF(rateable_value&lt;51000,rates_multiplier_rhl_small,IF(rateable_value&lt;500000,rates_multiplier_rhl_standard,rates_multiplier_high_value))*F25</f>
        <v/>
      </c>
      <c r="G26" s="8">
        <f>rateable_value*IF(rateable_value&lt;51000,rates_multiplier_rhl_small,IF(rateable_value&lt;500000,rates_multiplier_rhl_standard,rates_multiplier_high_value))*G25</f>
        <v/>
      </c>
      <c r="H26" s="8">
        <f>rateable_value*IF(rateable_value&lt;51000,rates_multiplier_rhl_small,IF(rateable_value&lt;500000,rates_multiplier_rhl_standard,rates_multiplier_high_value))*H25</f>
        <v/>
      </c>
      <c r="I26" s="8">
        <f>rateable_value*IF(rateable_value&lt;51000,rates_multiplier_rhl_small,IF(rateable_value&lt;500000,rates_multiplier_rhl_standard,rates_multiplier_high_value))*I25</f>
        <v/>
      </c>
      <c r="J26" s="8">
        <f>rateable_value*IF(rateable_value&lt;51000,rates_multiplier_rhl_small,IF(rateable_value&lt;500000,rates_multiplier_rhl_standard,rates_multiplier_high_value))*J25</f>
        <v/>
      </c>
      <c r="K26" s="8">
        <f>rateable_value*IF(rateable_value&lt;51000,rates_multiplier_rhl_small,IF(rateable_value&lt;500000,rates_multiplier_rhl_standard,rates_multiplier_high_value))*K25</f>
        <v/>
      </c>
      <c r="L26" s="8">
        <f>rateable_value*IF(rateable_value&lt;51000,rates_multiplier_rhl_small,IF(rateable_value&lt;500000,rates_multiplier_rhl_standard,rates_multiplier_high_value))*L25</f>
        <v/>
      </c>
      <c r="M26" s="8">
        <f>rateable_value*IF(rateable_value&lt;51000,rates_multiplier_rhl_small,IF(rateable_value&lt;500000,rates_multiplier_rhl_standard,rates_multiplier_high_value))*M25</f>
        <v/>
      </c>
      <c r="N26" s="8">
        <f>rateable_value*IF(rateable_value&lt;51000,rates_multiplier_rhl_small,IF(rateable_value&lt;500000,rates_multiplier_rhl_standard,rates_multiplier_high_value))*N25</f>
        <v/>
      </c>
      <c r="O26" s="8">
        <f>rateable_value*IF(rateable_value&lt;51000,rates_multiplier_rhl_small,IF(rateable_value&lt;500000,rates_multiplier_rhl_standard,rates_multiplier_high_value))*O25</f>
        <v/>
      </c>
      <c r="P26" s="8">
        <f>rateable_value*IF(rateable_value&lt;51000,rates_multiplier_rhl_small,IF(rateable_value&lt;500000,rates_multiplier_rhl_standard,rates_multiplier_high_value))*P25</f>
        <v/>
      </c>
      <c r="Q26" s="8">
        <f>rateable_value*IF(rateable_value&lt;51000,rates_multiplier_rhl_small,IF(rateable_value&lt;500000,rates_multiplier_rhl_standard,rates_multiplier_high_value))*Q25</f>
        <v/>
      </c>
      <c r="R26" s="8">
        <f>rateable_value*IF(rateable_value&lt;51000,rates_multiplier_rhl_small,IF(rateable_value&lt;500000,rates_multiplier_rhl_standard,rates_multiplier_high_value))*R25</f>
        <v/>
      </c>
    </row>
    <row r="27">
      <c r="A27" t="inlineStr">
        <is>
          <t>Service charge, utilities, insurance</t>
        </is>
      </c>
      <c r="C27" s="8">
        <f>occupancy_other_psf*area_sqft*C25</f>
        <v/>
      </c>
      <c r="D27" s="8">
        <f>occupancy_other_psf*area_sqft*D25</f>
        <v/>
      </c>
      <c r="E27" s="8">
        <f>occupancy_other_psf*area_sqft*E25</f>
        <v/>
      </c>
      <c r="F27" s="8">
        <f>occupancy_other_psf*area_sqft*F25</f>
        <v/>
      </c>
      <c r="G27" s="8">
        <f>occupancy_other_psf*area_sqft*G25</f>
        <v/>
      </c>
      <c r="H27" s="8">
        <f>occupancy_other_psf*area_sqft*H25</f>
        <v/>
      </c>
      <c r="I27" s="8">
        <f>occupancy_other_psf*area_sqft*I25</f>
        <v/>
      </c>
      <c r="J27" s="8">
        <f>occupancy_other_psf*area_sqft*J25</f>
        <v/>
      </c>
      <c r="K27" s="8">
        <f>occupancy_other_psf*area_sqft*K25</f>
        <v/>
      </c>
      <c r="L27" s="8">
        <f>occupancy_other_psf*area_sqft*L25</f>
        <v/>
      </c>
      <c r="M27" s="8">
        <f>occupancy_other_psf*area_sqft*M25</f>
        <v/>
      </c>
      <c r="N27" s="8">
        <f>occupancy_other_psf*area_sqft*N25</f>
        <v/>
      </c>
      <c r="O27" s="8">
        <f>occupancy_other_psf*area_sqft*O25</f>
        <v/>
      </c>
      <c r="P27" s="8">
        <f>occupancy_other_psf*area_sqft*P25</f>
        <v/>
      </c>
      <c r="Q27" s="8">
        <f>occupancy_other_psf*area_sqft*Q25</f>
        <v/>
      </c>
      <c r="R27" s="8">
        <f>occupancy_other_psf*area_sqft*R25</f>
        <v/>
      </c>
    </row>
    <row r="28">
      <c r="A28" t="inlineStr">
        <is>
          <t>Other store opex</t>
        </is>
      </c>
      <c r="C28" s="8">
        <f>C20*other_opex_pct_sales</f>
        <v/>
      </c>
      <c r="D28" s="8">
        <f>D20*other_opex_pct_sales</f>
        <v/>
      </c>
      <c r="E28" s="8">
        <f>E20*other_opex_pct_sales</f>
        <v/>
      </c>
      <c r="F28" s="8">
        <f>F20*other_opex_pct_sales</f>
        <v/>
      </c>
      <c r="G28" s="8">
        <f>G20*other_opex_pct_sales</f>
        <v/>
      </c>
      <c r="H28" s="8">
        <f>H20*other_opex_pct_sales</f>
        <v/>
      </c>
      <c r="I28" s="8">
        <f>I20*other_opex_pct_sales</f>
        <v/>
      </c>
      <c r="J28" s="8">
        <f>J20*other_opex_pct_sales</f>
        <v/>
      </c>
      <c r="K28" s="8">
        <f>K20*other_opex_pct_sales</f>
        <v/>
      </c>
      <c r="L28" s="8">
        <f>L20*other_opex_pct_sales</f>
        <v/>
      </c>
      <c r="M28" s="8">
        <f>M20*other_opex_pct_sales</f>
        <v/>
      </c>
      <c r="N28" s="8">
        <f>N20*other_opex_pct_sales</f>
        <v/>
      </c>
      <c r="O28" s="8">
        <f>O20*other_opex_pct_sales</f>
        <v/>
      </c>
      <c r="P28" s="8">
        <f>P20*other_opex_pct_sales</f>
        <v/>
      </c>
      <c r="Q28" s="8">
        <f>Q20*other_opex_pct_sales</f>
        <v/>
      </c>
      <c r="R28" s="8">
        <f>R20*other_opex_pct_sales</f>
        <v/>
      </c>
    </row>
    <row r="29">
      <c r="A29" t="inlineStr">
        <is>
          <t>Store EBITDA (4-wall)</t>
        </is>
      </c>
      <c r="C29" s="8">
        <f>C21-C23-C24-C26-C27-C28</f>
        <v/>
      </c>
      <c r="D29" s="8">
        <f>D21-D23-D24-D26-D27-D28</f>
        <v/>
      </c>
      <c r="E29" s="8">
        <f>E21-E23-E24-E26-E27-E28</f>
        <v/>
      </c>
      <c r="F29" s="8">
        <f>F21-F23-F24-F26-F27-F28</f>
        <v/>
      </c>
      <c r="G29" s="8">
        <f>G21-G23-G24-G26-G27-G28</f>
        <v/>
      </c>
      <c r="H29" s="8">
        <f>H21-H23-H24-H26-H27-H28</f>
        <v/>
      </c>
      <c r="I29" s="8">
        <f>I21-I23-I24-I26-I27-I28</f>
        <v/>
      </c>
      <c r="J29" s="8">
        <f>J21-J23-J24-J26-J27-J28</f>
        <v/>
      </c>
      <c r="K29" s="8">
        <f>K21-K23-K24-K26-K27-K28</f>
        <v/>
      </c>
      <c r="L29" s="8">
        <f>L21-L23-L24-L26-L27-L28</f>
        <v/>
      </c>
      <c r="M29" s="8">
        <f>M21-M23-M24-M26-M27-M28</f>
        <v/>
      </c>
      <c r="N29" s="8">
        <f>N21-N23-N24-N26-N27-N28</f>
        <v/>
      </c>
      <c r="O29" s="8">
        <f>O21-O23-O24-O26-O27-O28</f>
        <v/>
      </c>
      <c r="P29" s="8">
        <f>P21-P23-P24-P26-P27-P28</f>
        <v/>
      </c>
      <c r="Q29" s="8">
        <f>Q21-Q23-Q24-Q26-Q27-Q28</f>
        <v/>
      </c>
      <c r="R29" s="8">
        <f>R21-R23-R24-R26-R27-R28</f>
        <v/>
      </c>
    </row>
    <row r="30">
      <c r="A30" t="inlineStr">
        <is>
          <t>Pre-opening costs</t>
        </is>
      </c>
      <c r="C30" s="8">
        <f>IF(C15=0,pre_opening_costs,0)</f>
        <v/>
      </c>
      <c r="D30" s="8">
        <f>IF(D15=0,pre_opening_costs,0)</f>
        <v/>
      </c>
      <c r="E30" s="8">
        <f>IF(E15=0,pre_opening_costs,0)</f>
        <v/>
      </c>
      <c r="F30" s="8">
        <f>IF(F15=0,pre_opening_costs,0)</f>
        <v/>
      </c>
      <c r="G30" s="8">
        <f>IF(G15=0,pre_opening_costs,0)</f>
        <v/>
      </c>
      <c r="H30" s="8">
        <f>IF(H15=0,pre_opening_costs,0)</f>
        <v/>
      </c>
      <c r="I30" s="8">
        <f>IF(I15=0,pre_opening_costs,0)</f>
        <v/>
      </c>
      <c r="J30" s="8">
        <f>IF(J15=0,pre_opening_costs,0)</f>
        <v/>
      </c>
      <c r="K30" s="8">
        <f>IF(K15=0,pre_opening_costs,0)</f>
        <v/>
      </c>
      <c r="L30" s="8">
        <f>IF(L15=0,pre_opening_costs,0)</f>
        <v/>
      </c>
      <c r="M30" s="8">
        <f>IF(M15=0,pre_opening_costs,0)</f>
        <v/>
      </c>
      <c r="N30" s="8">
        <f>IF(N15=0,pre_opening_costs,0)</f>
        <v/>
      </c>
      <c r="O30" s="8">
        <f>IF(O15=0,pre_opening_costs,0)</f>
        <v/>
      </c>
      <c r="P30" s="8">
        <f>IF(P15=0,pre_opening_costs,0)</f>
        <v/>
      </c>
      <c r="Q30" s="8">
        <f>IF(Q15=0,pre_opening_costs,0)</f>
        <v/>
      </c>
      <c r="R30" s="8">
        <f>IF(R15=0,pre_opening_costs,0)</f>
        <v/>
      </c>
    </row>
    <row r="31">
      <c r="A31" t="inlineStr">
        <is>
          <t>Fit-out capex</t>
        </is>
      </c>
      <c r="C31" s="8">
        <f>IF(C15=0,$B$8,0)</f>
        <v/>
      </c>
      <c r="D31" s="8">
        <f>IF(D15=0,$B$8,0)</f>
        <v/>
      </c>
      <c r="E31" s="8">
        <f>IF(E15=0,$B$8,0)</f>
        <v/>
      </c>
      <c r="F31" s="8">
        <f>IF(F15=0,$B$8,0)</f>
        <v/>
      </c>
      <c r="G31" s="8">
        <f>IF(G15=0,$B$8,0)</f>
        <v/>
      </c>
      <c r="H31" s="8">
        <f>IF(H15=0,$B$8,0)</f>
        <v/>
      </c>
      <c r="I31" s="8">
        <f>IF(I15=0,$B$8,0)</f>
        <v/>
      </c>
      <c r="J31" s="8">
        <f>IF(J15=0,$B$8,0)</f>
        <v/>
      </c>
      <c r="K31" s="8">
        <f>IF(K15=0,$B$8,0)</f>
        <v/>
      </c>
      <c r="L31" s="8">
        <f>IF(L15=0,$B$8,0)</f>
        <v/>
      </c>
      <c r="M31" s="8">
        <f>IF(M15=0,$B$8,0)</f>
        <v/>
      </c>
      <c r="N31" s="8">
        <f>IF(N15=0,$B$8,0)</f>
        <v/>
      </c>
      <c r="O31" s="8">
        <f>IF(O15=0,$B$8,0)</f>
        <v/>
      </c>
      <c r="P31" s="8">
        <f>IF(P15=0,$B$8,0)</f>
        <v/>
      </c>
      <c r="Q31" s="8">
        <f>IF(Q15=0,$B$8,0)</f>
        <v/>
      </c>
      <c r="R31" s="8">
        <f>IF(R15=0,$B$8,0)</f>
        <v/>
      </c>
    </row>
    <row r="32">
      <c r="A32" t="inlineStr">
        <is>
          <t>Tax depreciation</t>
        </is>
      </c>
      <c r="C32" s="8">
        <f>IF(AND(C15&gt;=1,C15&lt;=tax_depreciation_years,C15&lt;=lease_term_years),$B$8/tax_depreciation_years,0)</f>
        <v/>
      </c>
      <c r="D32" s="8">
        <f>IF(AND(D15&gt;=1,D15&lt;=tax_depreciation_years,D15&lt;=lease_term_years),$B$8/tax_depreciation_years,0)</f>
        <v/>
      </c>
      <c r="E32" s="8">
        <f>IF(AND(E15&gt;=1,E15&lt;=tax_depreciation_years,E15&lt;=lease_term_years),$B$8/tax_depreciation_years,0)</f>
        <v/>
      </c>
      <c r="F32" s="8">
        <f>IF(AND(F15&gt;=1,F15&lt;=tax_depreciation_years,F15&lt;=lease_term_years),$B$8/tax_depreciation_years,0)</f>
        <v/>
      </c>
      <c r="G32" s="8">
        <f>IF(AND(G15&gt;=1,G15&lt;=tax_depreciation_years,G15&lt;=lease_term_years),$B$8/tax_depreciation_years,0)</f>
        <v/>
      </c>
      <c r="H32" s="8">
        <f>IF(AND(H15&gt;=1,H15&lt;=tax_depreciation_years,H15&lt;=lease_term_years),$B$8/tax_depreciation_years,0)</f>
        <v/>
      </c>
      <c r="I32" s="8">
        <f>IF(AND(I15&gt;=1,I15&lt;=tax_depreciation_years,I15&lt;=lease_term_years),$B$8/tax_depreciation_years,0)</f>
        <v/>
      </c>
      <c r="J32" s="8">
        <f>IF(AND(J15&gt;=1,J15&lt;=tax_depreciation_years,J15&lt;=lease_term_years),$B$8/tax_depreciation_years,0)</f>
        <v/>
      </c>
      <c r="K32" s="8">
        <f>IF(AND(K15&gt;=1,K15&lt;=tax_depreciation_years,K15&lt;=lease_term_years),$B$8/tax_depreciation_years,0)</f>
        <v/>
      </c>
      <c r="L32" s="8">
        <f>IF(AND(L15&gt;=1,L15&lt;=tax_depreciation_years,L15&lt;=lease_term_years),$B$8/tax_depreciation_years,0)</f>
        <v/>
      </c>
      <c r="M32" s="8">
        <f>IF(AND(M15&gt;=1,M15&lt;=tax_depreciation_years,M15&lt;=lease_term_years),$B$8/tax_depreciation_years,0)</f>
        <v/>
      </c>
      <c r="N32" s="8">
        <f>IF(AND(N15&gt;=1,N15&lt;=tax_depreciation_years,N15&lt;=lease_term_years),$B$8/tax_depreciation_years,0)</f>
        <v/>
      </c>
      <c r="O32" s="8">
        <f>IF(AND(O15&gt;=1,O15&lt;=tax_depreciation_years,O15&lt;=lease_term_years),$B$8/tax_depreciation_years,0)</f>
        <v/>
      </c>
      <c r="P32" s="8">
        <f>IF(AND(P15&gt;=1,P15&lt;=tax_depreciation_years,P15&lt;=lease_term_years),$B$8/tax_depreciation_years,0)</f>
        <v/>
      </c>
      <c r="Q32" s="8">
        <f>IF(AND(Q15&gt;=1,Q15&lt;=tax_depreciation_years,Q15&lt;=lease_term_years),$B$8/tax_depreciation_years,0)</f>
        <v/>
      </c>
      <c r="R32" s="8">
        <f>IF(AND(R15&gt;=1,R15&lt;=tax_depreciation_years,R15&lt;=lease_term_years),$B$8/tax_depreciation_years,0)</f>
        <v/>
      </c>
    </row>
    <row r="33">
      <c r="A33" t="inlineStr">
        <is>
          <t>Dilapidations</t>
        </is>
      </c>
      <c r="C33" s="8">
        <f>IF(C15=lease_term_years,dilapidations_at_exit,0)</f>
        <v/>
      </c>
      <c r="D33" s="8">
        <f>IF(D15=lease_term_years,dilapidations_at_exit,0)</f>
        <v/>
      </c>
      <c r="E33" s="8">
        <f>IF(E15=lease_term_years,dilapidations_at_exit,0)</f>
        <v/>
      </c>
      <c r="F33" s="8">
        <f>IF(F15=lease_term_years,dilapidations_at_exit,0)</f>
        <v/>
      </c>
      <c r="G33" s="8">
        <f>IF(G15=lease_term_years,dilapidations_at_exit,0)</f>
        <v/>
      </c>
      <c r="H33" s="8">
        <f>IF(H15=lease_term_years,dilapidations_at_exit,0)</f>
        <v/>
      </c>
      <c r="I33" s="8">
        <f>IF(I15=lease_term_years,dilapidations_at_exit,0)</f>
        <v/>
      </c>
      <c r="J33" s="8">
        <f>IF(J15=lease_term_years,dilapidations_at_exit,0)</f>
        <v/>
      </c>
      <c r="K33" s="8">
        <f>IF(K15=lease_term_years,dilapidations_at_exit,0)</f>
        <v/>
      </c>
      <c r="L33" s="8">
        <f>IF(L15=lease_term_years,dilapidations_at_exit,0)</f>
        <v/>
      </c>
      <c r="M33" s="8">
        <f>IF(M15=lease_term_years,dilapidations_at_exit,0)</f>
        <v/>
      </c>
      <c r="N33" s="8">
        <f>IF(N15=lease_term_years,dilapidations_at_exit,0)</f>
        <v/>
      </c>
      <c r="O33" s="8">
        <f>IF(O15=lease_term_years,dilapidations_at_exit,0)</f>
        <v/>
      </c>
      <c r="P33" s="8">
        <f>IF(P15=lease_term_years,dilapidations_at_exit,0)</f>
        <v/>
      </c>
      <c r="Q33" s="8">
        <f>IF(Q15=lease_term_years,dilapidations_at_exit,0)</f>
        <v/>
      </c>
      <c r="R33" s="8">
        <f>IF(R15=lease_term_years,dilapidations_at_exit,0)</f>
        <v/>
      </c>
    </row>
    <row r="34">
      <c r="A34" t="inlineStr">
        <is>
          <t>Taxable profit</t>
        </is>
      </c>
      <c r="C34" s="8">
        <f>C29-C30-C32-C33</f>
        <v/>
      </c>
      <c r="D34" s="8">
        <f>D29-D30-D32-D33</f>
        <v/>
      </c>
      <c r="E34" s="8">
        <f>E29-E30-E32-E33</f>
        <v/>
      </c>
      <c r="F34" s="8">
        <f>F29-F30-F32-F33</f>
        <v/>
      </c>
      <c r="G34" s="8">
        <f>G29-G30-G32-G33</f>
        <v/>
      </c>
      <c r="H34" s="8">
        <f>H29-H30-H32-H33</f>
        <v/>
      </c>
      <c r="I34" s="8">
        <f>I29-I30-I32-I33</f>
        <v/>
      </c>
      <c r="J34" s="8">
        <f>J29-J30-J32-J33</f>
        <v/>
      </c>
      <c r="K34" s="8">
        <f>K29-K30-K32-K33</f>
        <v/>
      </c>
      <c r="L34" s="8">
        <f>L29-L30-L32-L33</f>
        <v/>
      </c>
      <c r="M34" s="8">
        <f>M29-M30-M32-M33</f>
        <v/>
      </c>
      <c r="N34" s="8">
        <f>N29-N30-N32-N33</f>
        <v/>
      </c>
      <c r="O34" s="8">
        <f>O29-O30-O32-O33</f>
        <v/>
      </c>
      <c r="P34" s="8">
        <f>P29-P30-P32-P33</f>
        <v/>
      </c>
      <c r="Q34" s="8">
        <f>Q29-Q30-Q32-Q33</f>
        <v/>
      </c>
      <c r="R34" s="8">
        <f>R29-R30-R32-R33</f>
        <v/>
      </c>
    </row>
    <row r="35">
      <c r="A35" t="inlineStr">
        <is>
          <t>Tax (negative = group relief)</t>
        </is>
      </c>
      <c r="C35" s="8">
        <f>C34*tax_rate</f>
        <v/>
      </c>
      <c r="D35" s="8">
        <f>D34*tax_rate</f>
        <v/>
      </c>
      <c r="E35" s="8">
        <f>E34*tax_rate</f>
        <v/>
      </c>
      <c r="F35" s="8">
        <f>F34*tax_rate</f>
        <v/>
      </c>
      <c r="G35" s="8">
        <f>G34*tax_rate</f>
        <v/>
      </c>
      <c r="H35" s="8">
        <f>H34*tax_rate</f>
        <v/>
      </c>
      <c r="I35" s="8">
        <f>I34*tax_rate</f>
        <v/>
      </c>
      <c r="J35" s="8">
        <f>J34*tax_rate</f>
        <v/>
      </c>
      <c r="K35" s="8">
        <f>K34*tax_rate</f>
        <v/>
      </c>
      <c r="L35" s="8">
        <f>L34*tax_rate</f>
        <v/>
      </c>
      <c r="M35" s="8">
        <f>M34*tax_rate</f>
        <v/>
      </c>
      <c r="N35" s="8">
        <f>N34*tax_rate</f>
        <v/>
      </c>
      <c r="O35" s="8">
        <f>O34*tax_rate</f>
        <v/>
      </c>
      <c r="P35" s="8">
        <f>P34*tax_rate</f>
        <v/>
      </c>
      <c r="Q35" s="8">
        <f>Q34*tax_rate</f>
        <v/>
      </c>
      <c r="R35" s="8">
        <f>R34*tax_rate</f>
        <v/>
      </c>
    </row>
    <row r="36">
      <c r="A36" t="inlineStr">
        <is>
          <t>Stock held</t>
        </is>
      </c>
      <c r="C36" s="8">
        <f>IF(C15&lt;lease_term_years,stock_pct_sales*D20,0)</f>
        <v/>
      </c>
      <c r="D36" s="8">
        <f>IF(D15&lt;lease_term_years,stock_pct_sales*E20,0)</f>
        <v/>
      </c>
      <c r="E36" s="8">
        <f>IF(E15&lt;lease_term_years,stock_pct_sales*F20,0)</f>
        <v/>
      </c>
      <c r="F36" s="8">
        <f>IF(F15&lt;lease_term_years,stock_pct_sales*G20,0)</f>
        <v/>
      </c>
      <c r="G36" s="8">
        <f>IF(G15&lt;lease_term_years,stock_pct_sales*H20,0)</f>
        <v/>
      </c>
      <c r="H36" s="8">
        <f>IF(H15&lt;lease_term_years,stock_pct_sales*I20,0)</f>
        <v/>
      </c>
      <c r="I36" s="8">
        <f>IF(I15&lt;lease_term_years,stock_pct_sales*J20,0)</f>
        <v/>
      </c>
      <c r="J36" s="8">
        <f>IF(J15&lt;lease_term_years,stock_pct_sales*K20,0)</f>
        <v/>
      </c>
      <c r="K36" s="8">
        <f>IF(K15&lt;lease_term_years,stock_pct_sales*L20,0)</f>
        <v/>
      </c>
      <c r="L36" s="8">
        <f>IF(L15&lt;lease_term_years,stock_pct_sales*M20,0)</f>
        <v/>
      </c>
      <c r="M36" s="8">
        <f>IF(M15&lt;lease_term_years,stock_pct_sales*N20,0)</f>
        <v/>
      </c>
      <c r="N36" s="8">
        <f>IF(N15&lt;lease_term_years,stock_pct_sales*O20,0)</f>
        <v/>
      </c>
      <c r="O36" s="8">
        <f>IF(O15&lt;lease_term_years,stock_pct_sales*P20,0)</f>
        <v/>
      </c>
      <c r="P36" s="8">
        <f>IF(P15&lt;lease_term_years,stock_pct_sales*Q20,0)</f>
        <v/>
      </c>
      <c r="Q36" s="8">
        <f>IF(Q15&lt;lease_term_years,stock_pct_sales*R20,0)</f>
        <v/>
      </c>
      <c r="R36" s="8">
        <f>0</f>
        <v/>
      </c>
    </row>
    <row r="37">
      <c r="A37" t="inlineStr">
        <is>
          <t>Change in stock</t>
        </is>
      </c>
      <c r="C37" s="8">
        <f>C36</f>
        <v/>
      </c>
      <c r="D37" s="8">
        <f>D36-C36</f>
        <v/>
      </c>
      <c r="E37" s="8">
        <f>E36-D36</f>
        <v/>
      </c>
      <c r="F37" s="8">
        <f>F36-E36</f>
        <v/>
      </c>
      <c r="G37" s="8">
        <f>G36-F36</f>
        <v/>
      </c>
      <c r="H37" s="8">
        <f>H36-G36</f>
        <v/>
      </c>
      <c r="I37" s="8">
        <f>I36-H36</f>
        <v/>
      </c>
      <c r="J37" s="8">
        <f>J36-I36</f>
        <v/>
      </c>
      <c r="K37" s="8">
        <f>K36-J36</f>
        <v/>
      </c>
      <c r="L37" s="8">
        <f>L36-K36</f>
        <v/>
      </c>
      <c r="M37" s="8">
        <f>M36-L36</f>
        <v/>
      </c>
      <c r="N37" s="8">
        <f>N36-M36</f>
        <v/>
      </c>
      <c r="O37" s="8">
        <f>O36-N36</f>
        <v/>
      </c>
      <c r="P37" s="8">
        <f>P36-O36</f>
        <v/>
      </c>
      <c r="Q37" s="8">
        <f>Q36-P36</f>
        <v/>
      </c>
      <c r="R37" s="8">
        <f>R36-Q36</f>
        <v/>
      </c>
    </row>
    <row r="38">
      <c r="A38" t="inlineStr">
        <is>
          <t>Free cash flow</t>
        </is>
      </c>
      <c r="C38" s="8">
        <f>C29-C30-C35-C31-C37-C33</f>
        <v/>
      </c>
      <c r="D38" s="8">
        <f>D29-D30-D35-D31-D37-D33</f>
        <v/>
      </c>
      <c r="E38" s="8">
        <f>E29-E30-E35-E31-E37-E33</f>
        <v/>
      </c>
      <c r="F38" s="8">
        <f>F29-F30-F35-F31-F37-F33</f>
        <v/>
      </c>
      <c r="G38" s="8">
        <f>G29-G30-G35-G31-G37-G33</f>
        <v/>
      </c>
      <c r="H38" s="8">
        <f>H29-H30-H35-H31-H37-H33</f>
        <v/>
      </c>
      <c r="I38" s="8">
        <f>I29-I30-I35-I31-I37-I33</f>
        <v/>
      </c>
      <c r="J38" s="8">
        <f>J29-J30-J35-J31-J37-J33</f>
        <v/>
      </c>
      <c r="K38" s="8">
        <f>K29-K30-K35-K31-K37-K33</f>
        <v/>
      </c>
      <c r="L38" s="8">
        <f>L29-L30-L35-L31-L37-L33</f>
        <v/>
      </c>
      <c r="M38" s="8">
        <f>M29-M30-M35-M31-M37-M33</f>
        <v/>
      </c>
      <c r="N38" s="8">
        <f>N29-N30-N35-N31-N37-N33</f>
        <v/>
      </c>
      <c r="O38" s="8">
        <f>O29-O30-O35-O31-O37-O33</f>
        <v/>
      </c>
      <c r="P38" s="8">
        <f>P29-P30-P35-P31-P37-P33</f>
        <v/>
      </c>
      <c r="Q38" s="8">
        <f>Q29-Q30-Q35-Q31-Q37-Q33</f>
        <v/>
      </c>
      <c r="R38" s="8">
        <f>R29-R30-R35-R31-R37-R33</f>
        <v/>
      </c>
    </row>
    <row r="39">
      <c r="A39" t="inlineStr">
        <is>
          <t>Discount factor</t>
        </is>
      </c>
      <c r="C39" s="12">
        <f>1/(1+discount_rate)^C15</f>
        <v/>
      </c>
      <c r="D39" s="12">
        <f>1/(1+discount_rate)^D15</f>
        <v/>
      </c>
      <c r="E39" s="12">
        <f>1/(1+discount_rate)^E15</f>
        <v/>
      </c>
      <c r="F39" s="12">
        <f>1/(1+discount_rate)^F15</f>
        <v/>
      </c>
      <c r="G39" s="12">
        <f>1/(1+discount_rate)^G15</f>
        <v/>
      </c>
      <c r="H39" s="12">
        <f>1/(1+discount_rate)^H15</f>
        <v/>
      </c>
      <c r="I39" s="12">
        <f>1/(1+discount_rate)^I15</f>
        <v/>
      </c>
      <c r="J39" s="12">
        <f>1/(1+discount_rate)^J15</f>
        <v/>
      </c>
      <c r="K39" s="12">
        <f>1/(1+discount_rate)^K15</f>
        <v/>
      </c>
      <c r="L39" s="12">
        <f>1/(1+discount_rate)^L15</f>
        <v/>
      </c>
      <c r="M39" s="12">
        <f>1/(1+discount_rate)^M15</f>
        <v/>
      </c>
      <c r="N39" s="12">
        <f>1/(1+discount_rate)^N15</f>
        <v/>
      </c>
      <c r="O39" s="12">
        <f>1/(1+discount_rate)^O15</f>
        <v/>
      </c>
      <c r="P39" s="12">
        <f>1/(1+discount_rate)^P15</f>
        <v/>
      </c>
      <c r="Q39" s="12">
        <f>1/(1+discount_rate)^Q15</f>
        <v/>
      </c>
      <c r="R39" s="12">
        <f>1/(1+discount_rate)^R15</f>
        <v/>
      </c>
    </row>
    <row r="40">
      <c r="A40" t="inlineStr">
        <is>
          <t>Present value</t>
        </is>
      </c>
      <c r="C40" s="8">
        <f>C38*C39</f>
        <v/>
      </c>
      <c r="D40" s="8">
        <f>D38*D39</f>
        <v/>
      </c>
      <c r="E40" s="8">
        <f>E38*E39</f>
        <v/>
      </c>
      <c r="F40" s="8">
        <f>F38*F39</f>
        <v/>
      </c>
      <c r="G40" s="8">
        <f>G38*G39</f>
        <v/>
      </c>
      <c r="H40" s="8">
        <f>H38*H39</f>
        <v/>
      </c>
      <c r="I40" s="8">
        <f>I38*I39</f>
        <v/>
      </c>
      <c r="J40" s="8">
        <f>J38*J39</f>
        <v/>
      </c>
      <c r="K40" s="8">
        <f>K38*K39</f>
        <v/>
      </c>
      <c r="L40" s="8">
        <f>L38*L39</f>
        <v/>
      </c>
      <c r="M40" s="8">
        <f>M38*M39</f>
        <v/>
      </c>
      <c r="N40" s="8">
        <f>N38*N39</f>
        <v/>
      </c>
      <c r="O40" s="8">
        <f>O38*O39</f>
        <v/>
      </c>
      <c r="P40" s="8">
        <f>P38*P39</f>
        <v/>
      </c>
      <c r="Q40" s="8">
        <f>Q38*Q39</f>
        <v/>
      </c>
      <c r="R40" s="8">
        <f>R38*R39</f>
        <v/>
      </c>
    </row>
    <row r="41">
      <c r="A41" t="inlineStr">
        <is>
          <t>Cumulative cash flow</t>
        </is>
      </c>
      <c r="C41" s="8">
        <f>C38</f>
        <v/>
      </c>
      <c r="D41" s="8">
        <f>C41+D38</f>
        <v/>
      </c>
      <c r="E41" s="8">
        <f>D41+E38</f>
        <v/>
      </c>
      <c r="F41" s="8">
        <f>E41+F38</f>
        <v/>
      </c>
      <c r="G41" s="8">
        <f>F41+G38</f>
        <v/>
      </c>
      <c r="H41" s="8">
        <f>G41+H38</f>
        <v/>
      </c>
      <c r="I41" s="8">
        <f>H41+I38</f>
        <v/>
      </c>
      <c r="J41" s="8">
        <f>I41+J38</f>
        <v/>
      </c>
      <c r="K41" s="8">
        <f>J41+K38</f>
        <v/>
      </c>
      <c r="L41" s="8">
        <f>K41+L38</f>
        <v/>
      </c>
      <c r="M41" s="8">
        <f>L41+M38</f>
        <v/>
      </c>
      <c r="N41" s="8">
        <f>M41+N38</f>
        <v/>
      </c>
      <c r="O41" s="8">
        <f>N41+O38</f>
        <v/>
      </c>
      <c r="P41" s="8">
        <f>O41+P38</f>
        <v/>
      </c>
      <c r="Q41" s="8">
        <f>P41+Q38</f>
        <v/>
      </c>
      <c r="R41" s="8">
        <f>Q41+R38</f>
        <v/>
      </c>
    </row>
    <row r="42">
      <c r="A42" t="inlineStr">
        <is>
          <t>Payback helper (months)</t>
        </is>
      </c>
      <c r="C42" s="9">
        <f>0</f>
        <v/>
      </c>
      <c r="D42" s="9">
        <f>IF(AND(C41&lt;0,D41&gt;=0),(D15-1+(-C41)/D38)*12,0)</f>
        <v/>
      </c>
      <c r="E42" s="9">
        <f>IF(AND(D41&lt;0,E41&gt;=0),(E15-1+(-D41)/E38)*12,0)</f>
        <v/>
      </c>
      <c r="F42" s="9">
        <f>IF(AND(E41&lt;0,F41&gt;=0),(F15-1+(-E41)/F38)*12,0)</f>
        <v/>
      </c>
      <c r="G42" s="9">
        <f>IF(AND(F41&lt;0,G41&gt;=0),(G15-1+(-F41)/G38)*12,0)</f>
        <v/>
      </c>
      <c r="H42" s="9">
        <f>IF(AND(G41&lt;0,H41&gt;=0),(H15-1+(-G41)/H38)*12,0)</f>
        <v/>
      </c>
      <c r="I42" s="9">
        <f>IF(AND(H41&lt;0,I41&gt;=0),(I15-1+(-H41)/I38)*12,0)</f>
        <v/>
      </c>
      <c r="J42" s="9">
        <f>IF(AND(I41&lt;0,J41&gt;=0),(J15-1+(-I41)/J38)*12,0)</f>
        <v/>
      </c>
      <c r="K42" s="9">
        <f>IF(AND(J41&lt;0,K41&gt;=0),(K15-1+(-J41)/K38)*12,0)</f>
        <v/>
      </c>
      <c r="L42" s="9">
        <f>IF(AND(K41&lt;0,L41&gt;=0),(L15-1+(-K41)/L38)*12,0)</f>
        <v/>
      </c>
      <c r="M42" s="9">
        <f>IF(AND(L41&lt;0,M41&gt;=0),(M15-1+(-L41)/M38)*12,0)</f>
        <v/>
      </c>
      <c r="N42" s="9">
        <f>IF(AND(M41&lt;0,N41&gt;=0),(N15-1+(-M41)/N38)*12,0)</f>
        <v/>
      </c>
      <c r="O42" s="9">
        <f>IF(AND(N41&lt;0,O41&gt;=0),(O15-1+(-N41)/O38)*12,0)</f>
        <v/>
      </c>
      <c r="P42" s="9">
        <f>IF(AND(O41&lt;0,P41&gt;=0),(P15-1+(-O41)/P38)*12,0)</f>
        <v/>
      </c>
      <c r="Q42" s="9">
        <f>IF(AND(P41&lt;0,Q41&gt;=0),(Q15-1+(-P41)/Q38)*12,0)</f>
        <v/>
      </c>
      <c r="R42" s="9">
        <f>IF(AND(Q41&lt;0,R41&gt;=0),(R15-1+(-Q41)/R38)*12,0)</f>
        <v/>
      </c>
    </row>
    <row r="44">
      <c r="A44" s="10" t="inlineStr">
        <is>
          <t>npv</t>
        </is>
      </c>
      <c r="B44" s="8">
        <f>SUM($C$40:$R$40)</f>
        <v/>
      </c>
    </row>
    <row r="45">
      <c r="A45" s="10" t="inlineStr">
        <is>
          <t>irr</t>
        </is>
      </c>
      <c r="B45" s="6">
        <f>IRR($C$38:$R$38)</f>
        <v/>
      </c>
    </row>
    <row r="46">
      <c r="A46" s="10" t="inlineStr">
        <is>
          <t>payback_months</t>
        </is>
      </c>
      <c r="B46" s="9">
        <f>IF(SUM($C$42:$R$42)=0,"n/a",SUM($C$42:$R$42))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Returns, break-even and checks</t>
        </is>
      </c>
    </row>
    <row r="2">
      <c r="A2" s="2" t="inlineStr">
        <is>
          <t>Illustrative and assumption-driven. Mint Velvet store-level data is not public; outputs are not Mint Velvet's store economics. Independent analysis of public filings, not affiliated with or endorsed by Mint Velvet or Sabre Retail Fashion Limited.</t>
        </is>
      </c>
    </row>
    <row r="4">
      <c r="A4" s="3" t="inlineStr">
        <is>
          <t>Metric</t>
        </is>
      </c>
      <c r="B4" s="3" t="inlineStr">
        <is>
          <t>Base</t>
        </is>
      </c>
      <c r="C4" s="3" t="inlineStr">
        <is>
          <t>Downside</t>
        </is>
      </c>
      <c r="D4" s="3" t="inlineStr">
        <is>
          <t>Upside</t>
        </is>
      </c>
    </row>
    <row r="5">
      <c r="A5" t="inlineStr">
        <is>
          <t>NPV (GBP)</t>
        </is>
      </c>
      <c r="B5" s="8">
        <f>'Store P&amp;L'!$B$44</f>
        <v/>
      </c>
      <c r="C5" s="8">
        <f>'Engine'!$B$88</f>
        <v/>
      </c>
      <c r="D5" s="8">
        <f>'Engine'!$B$178</f>
        <v/>
      </c>
    </row>
    <row r="6">
      <c r="A6" t="inlineStr">
        <is>
          <t>IRR</t>
        </is>
      </c>
      <c r="B6" s="6">
        <f>'Store P&amp;L'!$B$45</f>
        <v/>
      </c>
      <c r="C6" s="6">
        <f>'Engine'!$B$89</f>
        <v/>
      </c>
      <c r="D6" s="6">
        <f>'Engine'!$B$179</f>
        <v/>
      </c>
    </row>
    <row r="7">
      <c r="A7" t="inlineStr">
        <is>
          <t>Payback (months)</t>
        </is>
      </c>
      <c r="B7" s="9">
        <f>'Store P&amp;L'!$B$46</f>
        <v/>
      </c>
      <c r="C7" s="9">
        <f>'Engine'!$B$90</f>
        <v/>
      </c>
      <c r="D7" s="9">
        <f>'Engine'!$B$180</f>
        <v/>
      </c>
    </row>
    <row r="8">
      <c r="A8" s="10" t="inlineStr">
        <is>
          <t>Break-even mature sales density (GBP / sq ft / yr, year-1 prices)</t>
        </is>
      </c>
      <c r="B8" s="13">
        <f>'Store P&amp;L'!$B$5-'Store P&amp;L'!$B$44*100/('Engine'!$B$43-'Store P&amp;L'!$B$44)</f>
        <v/>
      </c>
      <c r="C8" s="13">
        <f>'Engine'!$B$49-'Engine'!$B$88*100/('Engine'!$B$133-'Engine'!$B$88)</f>
        <v/>
      </c>
      <c r="D8" s="13">
        <f>'Engine'!$B$139-'Engine'!$B$178*100/('Engine'!$B$223-'Engine'!$B$178)</f>
        <v/>
      </c>
    </row>
    <row r="9">
      <c r="A9" t="inlineStr">
        <is>
          <t>Break-even mature sales (GBP / yr, year-1 prices)</t>
        </is>
      </c>
      <c r="B9" s="8">
        <f>B8*area_sqft</f>
        <v/>
      </c>
      <c r="C9" s="8">
        <f>C8*area_sqft</f>
        <v/>
      </c>
      <c r="D9" s="8">
        <f>D8*area_sqft</f>
        <v/>
      </c>
    </row>
    <row r="10">
      <c r="A10" t="inlineStr">
        <is>
          <t>Assumed mature sales density</t>
        </is>
      </c>
      <c r="B10" s="13">
        <f>'Store P&amp;L'!$B$5</f>
        <v/>
      </c>
      <c r="C10" s="13">
        <f>'Engine'!$B$49</f>
        <v/>
      </c>
      <c r="D10" s="13">
        <f>'Engine'!$B$139</f>
        <v/>
      </c>
    </row>
    <row r="11">
      <c r="A11" t="inlineStr">
        <is>
          <t>Headroom: assumed density / break-even - 1</t>
        </is>
      </c>
      <c r="B11" s="6">
        <f>B10/B8-1</f>
        <v/>
      </c>
      <c r="C11" s="6">
        <f>C10/C8-1</f>
        <v/>
      </c>
      <c r="D11" s="6">
        <f>D10/D8-1</f>
        <v/>
      </c>
    </row>
    <row r="13">
      <c r="A13" s="10" t="inlineStr">
        <is>
          <t>Base case at maturity (year 3)</t>
        </is>
      </c>
    </row>
    <row r="14">
      <c r="A14" t="inlineStr">
        <is>
          <t>Sales</t>
        </is>
      </c>
      <c r="B14" s="8">
        <f>'Store P&amp;L'!$F$20</f>
        <v/>
      </c>
    </row>
    <row r="15">
      <c r="A15" t="inlineStr">
        <is>
          <t>Store EBITDA margin (4-wall)</t>
        </is>
      </c>
      <c r="B15" s="6">
        <f>'Store P&amp;L'!$F$29/'Store P&amp;L'!$F$20</f>
        <v/>
      </c>
    </row>
    <row r="16">
      <c r="A16" t="inlineStr">
        <is>
          <t>Payroll % sales</t>
        </is>
      </c>
      <c r="B16" s="6">
        <f>'Store P&amp;L'!$F$23/'Store P&amp;L'!$F$20</f>
        <v/>
      </c>
    </row>
    <row r="17">
      <c r="A17" t="inlineStr">
        <is>
          <t>Occupancy % sales (rent, rates, service charge)</t>
        </is>
      </c>
      <c r="B17" s="6">
        <f>('Store P&amp;L'!$F$24+'Store P&amp;L'!$F$26+'Store P&amp;L'!$F$27)/'Store P&amp;L'!$F$20</f>
        <v/>
      </c>
    </row>
    <row r="19">
      <c r="A19" s="10" t="inlineStr">
        <is>
          <t>Checks (all must be TRUE)</t>
        </is>
      </c>
    </row>
    <row r="20">
      <c r="A20" t="inlineStr">
        <is>
          <t>Stock fully released by lease end</t>
        </is>
      </c>
      <c r="B20">
        <f>ABS(SUM('Store P&amp;L'!$C$37:$R$37))&lt;0.01</f>
        <v/>
      </c>
    </row>
    <row r="21">
      <c r="A21" t="inlineStr">
        <is>
          <t>Tax = rate x taxable profit</t>
        </is>
      </c>
      <c r="B21">
        <f>ABS(SUM('Store P&amp;L'!$C$35:$R$35)-tax_rate*SUM('Store P&amp;L'!$C$34:$R$34))&lt;0.01</f>
        <v/>
      </c>
    </row>
    <row r="22">
      <c r="A22" t="inlineStr">
        <is>
          <t>FCF identity</t>
        </is>
      </c>
      <c r="B22">
        <f>ABS(SUM('Store P&amp;L'!$C$38:$R$38)-(SUM('Store P&amp;L'!$C$29:$R$29)-SUM('Store P&amp;L'!$C$30:$R$30)-SUM('Store P&amp;L'!$C$35:$R$35)-SUM('Store P&amp;L'!$C$31:$R$31)-SUM('Store P&amp;L'!$C$33:$R$33)))&lt;0.01</f>
        <v/>
      </c>
    </row>
    <row r="23">
      <c r="A23" t="inlineStr">
        <is>
          <t>Downside NPV &lt; base NPV &lt; upside NPV</t>
        </is>
      </c>
      <c r="B23">
        <f>AND(C5&lt;B5,B5&lt;D5)</f>
        <v/>
      </c>
    </row>
    <row r="24">
      <c r="A24" t="inlineStr">
        <is>
          <t>IRR above discount rate exactly when NPV &gt; 0</t>
        </is>
      </c>
      <c r="B24">
        <f>(B6&gt;discount_rate)=(B5&gt;0)</f>
        <v/>
      </c>
    </row>
    <row r="26">
      <c r="A26" s="10" t="inlineStr">
        <is>
          <t>ALL CHECKS</t>
        </is>
      </c>
      <c r="B26" s="14">
        <f>AND(B20:B24)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Tornado: NPV with one driver moved +/-20% (all else base)</t>
        </is>
      </c>
    </row>
    <row r="2">
      <c r="A2" s="2" t="inlineStr">
        <is>
          <t>Ramp-up speed +/-20% scales the year-1 and year-2 shortfall to maturity. A +/-20% gross-margin swing (57%-85%) is a stress, far wider than the 70.0%-71.0% product margin the FY21-FY22 filings show.</t>
        </is>
      </c>
    </row>
    <row r="4">
      <c r="A4" s="3" t="inlineStr">
        <is>
          <t>Driver</t>
        </is>
      </c>
      <c r="B4" s="3" t="inlineStr">
        <is>
          <t>NPV low case</t>
        </is>
      </c>
      <c r="C4" s="3" t="inlineStr">
        <is>
          <t>NPV high case</t>
        </is>
      </c>
      <c r="D4" s="3" t="inlineStr">
        <is>
          <t>Base NPV</t>
        </is>
      </c>
      <c r="E4" s="3" t="inlineStr">
        <is>
          <t>Swing (high - low)</t>
        </is>
      </c>
    </row>
    <row r="5">
      <c r="A5" t="inlineStr">
        <is>
          <t>mature_sales_density</t>
        </is>
      </c>
      <c r="B5" s="8">
        <f>'Engine'!$B$268</f>
        <v/>
      </c>
      <c r="C5" s="8">
        <f>'Engine'!$B$313</f>
        <v/>
      </c>
      <c r="D5" s="8">
        <f>'Store P&amp;L'!$B$44</f>
        <v/>
      </c>
      <c r="E5" s="8">
        <f>C5-B5</f>
        <v/>
      </c>
    </row>
    <row r="6">
      <c r="A6" t="inlineStr">
        <is>
          <t>product_gross_margin</t>
        </is>
      </c>
      <c r="B6" s="8">
        <f>'Engine'!$B$358</f>
        <v/>
      </c>
      <c r="C6" s="8">
        <f>'Engine'!$B$403</f>
        <v/>
      </c>
      <c r="D6" s="8">
        <f>'Store P&amp;L'!$B$44</f>
        <v/>
      </c>
      <c r="E6" s="8">
        <f>C6-B6</f>
        <v/>
      </c>
    </row>
    <row r="7">
      <c r="A7" t="inlineStr">
        <is>
          <t>rent_per_year</t>
        </is>
      </c>
      <c r="B7" s="8">
        <f>'Engine'!$B$448</f>
        <v/>
      </c>
      <c r="C7" s="8">
        <f>'Engine'!$B$493</f>
        <v/>
      </c>
      <c r="D7" s="8">
        <f>'Store P&amp;L'!$B$44</f>
        <v/>
      </c>
      <c r="E7" s="8">
        <f>C7-B7</f>
        <v/>
      </c>
    </row>
    <row r="8">
      <c r="A8" t="inlineStr">
        <is>
          <t>payroll</t>
        </is>
      </c>
      <c r="B8" s="8">
        <f>'Engine'!$B$538</f>
        <v/>
      </c>
      <c r="C8" s="8">
        <f>'Engine'!$B$583</f>
        <v/>
      </c>
      <c r="D8" s="8">
        <f>'Store P&amp;L'!$B$44</f>
        <v/>
      </c>
      <c r="E8" s="8">
        <f>C8-B8</f>
        <v/>
      </c>
    </row>
    <row r="9">
      <c r="A9" t="inlineStr">
        <is>
          <t>ramp_speed</t>
        </is>
      </c>
      <c r="B9" s="8">
        <f>'Engine'!$B$628</f>
        <v/>
      </c>
      <c r="C9" s="8">
        <f>'Engine'!$B$673</f>
        <v/>
      </c>
      <c r="D9" s="8">
        <f>'Store P&amp;L'!$B$44</f>
        <v/>
      </c>
      <c r="E9" s="8">
        <f>C9-B9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75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Engine: one full cash-flow block per case (same formulas as Store P&amp;L)</t>
        </is>
      </c>
    </row>
    <row r="3">
      <c r="A3" s="10" t="inlineStr">
        <is>
          <t>Base, density + 100 (break-even helper)</t>
        </is>
      </c>
    </row>
    <row r="4">
      <c r="A4" t="inlineStr">
        <is>
          <t>param: density</t>
        </is>
      </c>
      <c r="B4">
        <f>mature_sales_density+100</f>
        <v/>
      </c>
    </row>
    <row r="5">
      <c r="A5" t="inlineStr">
        <is>
          <t>param: gm</t>
        </is>
      </c>
      <c r="B5">
        <f>product_gross_margin</f>
        <v/>
      </c>
    </row>
    <row r="6">
      <c r="A6" t="inlineStr">
        <is>
          <t>param: rent</t>
        </is>
      </c>
      <c r="B6">
        <f>rent_per_year</f>
        <v/>
      </c>
    </row>
    <row r="7">
      <c r="A7" t="inlineStr">
        <is>
          <t>param: capex</t>
        </is>
      </c>
      <c r="B7">
        <f>fitout_capex</f>
        <v/>
      </c>
    </row>
    <row r="8">
      <c r="A8" t="inlineStr">
        <is>
          <t>param: ramp1</t>
        </is>
      </c>
      <c r="B8">
        <f>ramp_year1</f>
        <v/>
      </c>
    </row>
    <row r="9">
      <c r="A9" t="inlineStr">
        <is>
          <t>param: ramp2</t>
        </is>
      </c>
      <c r="B9">
        <f>ramp_year2</f>
        <v/>
      </c>
    </row>
    <row r="10">
      <c r="A10" t="inlineStr">
        <is>
          <t>param: rent_mult</t>
        </is>
      </c>
      <c r="B10" t="n">
        <v>1</v>
      </c>
    </row>
    <row r="11">
      <c r="A11" t="inlineStr">
        <is>
          <t>param: payroll_mult</t>
        </is>
      </c>
      <c r="B11" t="n">
        <v>1</v>
      </c>
    </row>
    <row r="12">
      <c r="A12" t="inlineStr">
        <is>
          <t>param: ramp_mult</t>
        </is>
      </c>
      <c r="B12" t="n">
        <v>1</v>
      </c>
    </row>
    <row r="14">
      <c r="A14" t="inlineStr">
        <is>
          <t>Year</t>
        </is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5</v>
      </c>
      <c r="I14" t="n">
        <v>6</v>
      </c>
      <c r="J14" t="n">
        <v>7</v>
      </c>
      <c r="K14" t="n">
        <v>8</v>
      </c>
      <c r="L14" t="n">
        <v>9</v>
      </c>
      <c r="M14" t="n">
        <v>10</v>
      </c>
      <c r="N14" t="n">
        <v>11</v>
      </c>
      <c r="O14" t="n">
        <v>12</v>
      </c>
      <c r="P14" t="n">
        <v>13</v>
      </c>
      <c r="Q14" t="n">
        <v>14</v>
      </c>
      <c r="R14" t="n">
        <v>15</v>
      </c>
    </row>
    <row r="15">
      <c r="A15" t="inlineStr">
        <is>
          <t>Trading year flag</t>
        </is>
      </c>
      <c r="C15">
        <f>IF(AND(C14&gt;=1,C14&lt;=lease_term_years),1,0)</f>
        <v/>
      </c>
      <c r="D15">
        <f>IF(AND(D14&gt;=1,D14&lt;=lease_term_years),1,0)</f>
        <v/>
      </c>
      <c r="E15">
        <f>IF(AND(E14&gt;=1,E14&lt;=lease_term_years),1,0)</f>
        <v/>
      </c>
      <c r="F15">
        <f>IF(AND(F14&gt;=1,F14&lt;=lease_term_years),1,0)</f>
        <v/>
      </c>
      <c r="G15">
        <f>IF(AND(G14&gt;=1,G14&lt;=lease_term_years),1,0)</f>
        <v/>
      </c>
      <c r="H15">
        <f>IF(AND(H14&gt;=1,H14&lt;=lease_term_years),1,0)</f>
        <v/>
      </c>
      <c r="I15">
        <f>IF(AND(I14&gt;=1,I14&lt;=lease_term_years),1,0)</f>
        <v/>
      </c>
      <c r="J15">
        <f>IF(AND(J14&gt;=1,J14&lt;=lease_term_years),1,0)</f>
        <v/>
      </c>
      <c r="K15">
        <f>IF(AND(K14&gt;=1,K14&lt;=lease_term_years),1,0)</f>
        <v/>
      </c>
      <c r="L15">
        <f>IF(AND(L14&gt;=1,L14&lt;=lease_term_years),1,0)</f>
        <v/>
      </c>
      <c r="M15">
        <f>IF(AND(M14&gt;=1,M14&lt;=lease_term_years),1,0)</f>
        <v/>
      </c>
      <c r="N15">
        <f>IF(AND(N14&gt;=1,N14&lt;=lease_term_years),1,0)</f>
        <v/>
      </c>
      <c r="O15">
        <f>IF(AND(O14&gt;=1,O14&lt;=lease_term_years),1,0)</f>
        <v/>
      </c>
      <c r="P15">
        <f>IF(AND(P14&gt;=1,P14&lt;=lease_term_years),1,0)</f>
        <v/>
      </c>
      <c r="Q15">
        <f>IF(AND(Q14&gt;=1,Q14&lt;=lease_term_years),1,0)</f>
        <v/>
      </c>
      <c r="R15">
        <f>IF(AND(R14&gt;=1,R14&lt;=lease_term_years),1,0)</f>
        <v/>
      </c>
    </row>
    <row r="16">
      <c r="A16" t="inlineStr">
        <is>
          <t>Ramp-up (share of mature volume)</t>
        </is>
      </c>
      <c r="C16">
        <f>IF(C14=1,1-(1-$B$8)*$B$12,IF(C14=2,1-(1-$B$9)*$B$12,1))*C15</f>
        <v/>
      </c>
      <c r="D16">
        <f>IF(D14=1,1-(1-$B$8)*$B$12,IF(D14=2,1-(1-$B$9)*$B$12,1))*D15</f>
        <v/>
      </c>
      <c r="E16">
        <f>IF(E14=1,1-(1-$B$8)*$B$12,IF(E14=2,1-(1-$B$9)*$B$12,1))*E15</f>
        <v/>
      </c>
      <c r="F16">
        <f>IF(F14=1,1-(1-$B$8)*$B$12,IF(F14=2,1-(1-$B$9)*$B$12,1))*F15</f>
        <v/>
      </c>
      <c r="G16">
        <f>IF(G14=1,1-(1-$B$8)*$B$12,IF(G14=2,1-(1-$B$9)*$B$12,1))*G15</f>
        <v/>
      </c>
      <c r="H16">
        <f>IF(H14=1,1-(1-$B$8)*$B$12,IF(H14=2,1-(1-$B$9)*$B$12,1))*H15</f>
        <v/>
      </c>
      <c r="I16">
        <f>IF(I14=1,1-(1-$B$8)*$B$12,IF(I14=2,1-(1-$B$9)*$B$12,1))*I15</f>
        <v/>
      </c>
      <c r="J16">
        <f>IF(J14=1,1-(1-$B$8)*$B$12,IF(J14=2,1-(1-$B$9)*$B$12,1))*J15</f>
        <v/>
      </c>
      <c r="K16">
        <f>IF(K14=1,1-(1-$B$8)*$B$12,IF(K14=2,1-(1-$B$9)*$B$12,1))*K15</f>
        <v/>
      </c>
      <c r="L16">
        <f>IF(L14=1,1-(1-$B$8)*$B$12,IF(L14=2,1-(1-$B$9)*$B$12,1))*L15</f>
        <v/>
      </c>
      <c r="M16">
        <f>IF(M14=1,1-(1-$B$8)*$B$12,IF(M14=2,1-(1-$B$9)*$B$12,1))*M15</f>
        <v/>
      </c>
      <c r="N16">
        <f>IF(N14=1,1-(1-$B$8)*$B$12,IF(N14=2,1-(1-$B$9)*$B$12,1))*N15</f>
        <v/>
      </c>
      <c r="O16">
        <f>IF(O14=1,1-(1-$B$8)*$B$12,IF(O14=2,1-(1-$B$9)*$B$12,1))*O15</f>
        <v/>
      </c>
      <c r="P16">
        <f>IF(P14=1,1-(1-$B$8)*$B$12,IF(P14=2,1-(1-$B$9)*$B$12,1))*P15</f>
        <v/>
      </c>
      <c r="Q16">
        <f>IF(Q14=1,1-(1-$B$8)*$B$12,IF(Q14=2,1-(1-$B$9)*$B$12,1))*Q15</f>
        <v/>
      </c>
      <c r="R16">
        <f>IF(R14=1,1-(1-$B$8)*$B$12,IF(R14=2,1-(1-$B$9)*$B$12,1))*R15</f>
        <v/>
      </c>
    </row>
    <row r="17">
      <c r="A17" t="inlineStr">
        <is>
          <t>Sales volume (year-1 prices)</t>
        </is>
      </c>
      <c r="C17">
        <f>area_sqft*$B$4*C16</f>
        <v/>
      </c>
      <c r="D17">
        <f>area_sqft*$B$4*D16</f>
        <v/>
      </c>
      <c r="E17">
        <f>area_sqft*$B$4*E16</f>
        <v/>
      </c>
      <c r="F17">
        <f>area_sqft*$B$4*F16</f>
        <v/>
      </c>
      <c r="G17">
        <f>area_sqft*$B$4*G16</f>
        <v/>
      </c>
      <c r="H17">
        <f>area_sqft*$B$4*H16</f>
        <v/>
      </c>
      <c r="I17">
        <f>area_sqft*$B$4*I16</f>
        <v/>
      </c>
      <c r="J17">
        <f>area_sqft*$B$4*J16</f>
        <v/>
      </c>
      <c r="K17">
        <f>area_sqft*$B$4*K16</f>
        <v/>
      </c>
      <c r="L17">
        <f>area_sqft*$B$4*L16</f>
        <v/>
      </c>
      <c r="M17">
        <f>area_sqft*$B$4*M16</f>
        <v/>
      </c>
      <c r="N17">
        <f>area_sqft*$B$4*N16</f>
        <v/>
      </c>
      <c r="O17">
        <f>area_sqft*$B$4*O16</f>
        <v/>
      </c>
      <c r="P17">
        <f>area_sqft*$B$4*P16</f>
        <v/>
      </c>
      <c r="Q17">
        <f>area_sqft*$B$4*Q16</f>
        <v/>
      </c>
      <c r="R17">
        <f>area_sqft*$B$4*R16</f>
        <v/>
      </c>
    </row>
    <row r="18">
      <c r="A18" t="inlineStr">
        <is>
          <t>Sales growth index</t>
        </is>
      </c>
      <c r="C18">
        <f>IF(C15=1,(1+sales_growth)^(C14-1),0)</f>
        <v/>
      </c>
      <c r="D18">
        <f>IF(D15=1,(1+sales_growth)^(D14-1),0)</f>
        <v/>
      </c>
      <c r="E18">
        <f>IF(E15=1,(1+sales_growth)^(E14-1),0)</f>
        <v/>
      </c>
      <c r="F18">
        <f>IF(F15=1,(1+sales_growth)^(F14-1),0)</f>
        <v/>
      </c>
      <c r="G18">
        <f>IF(G15=1,(1+sales_growth)^(G14-1),0)</f>
        <v/>
      </c>
      <c r="H18">
        <f>IF(H15=1,(1+sales_growth)^(H14-1),0)</f>
        <v/>
      </c>
      <c r="I18">
        <f>IF(I15=1,(1+sales_growth)^(I14-1),0)</f>
        <v/>
      </c>
      <c r="J18">
        <f>IF(J15=1,(1+sales_growth)^(J14-1),0)</f>
        <v/>
      </c>
      <c r="K18">
        <f>IF(K15=1,(1+sales_growth)^(K14-1),0)</f>
        <v/>
      </c>
      <c r="L18">
        <f>IF(L15=1,(1+sales_growth)^(L14-1),0)</f>
        <v/>
      </c>
      <c r="M18">
        <f>IF(M15=1,(1+sales_growth)^(M14-1),0)</f>
        <v/>
      </c>
      <c r="N18">
        <f>IF(N15=1,(1+sales_growth)^(N14-1),0)</f>
        <v/>
      </c>
      <c r="O18">
        <f>IF(O15=1,(1+sales_growth)^(O14-1),0)</f>
        <v/>
      </c>
      <c r="P18">
        <f>IF(P15=1,(1+sales_growth)^(P14-1),0)</f>
        <v/>
      </c>
      <c r="Q18">
        <f>IF(Q15=1,(1+sales_growth)^(Q14-1),0)</f>
        <v/>
      </c>
      <c r="R18">
        <f>IF(R15=1,(1+sales_growth)^(R14-1),0)</f>
        <v/>
      </c>
    </row>
    <row r="19">
      <c r="A19" t="inlineStr">
        <is>
          <t>Sales</t>
        </is>
      </c>
      <c r="C19">
        <f>C17*C18</f>
        <v/>
      </c>
      <c r="D19">
        <f>D17*D18</f>
        <v/>
      </c>
      <c r="E19">
        <f>E17*E18</f>
        <v/>
      </c>
      <c r="F19">
        <f>F17*F18</f>
        <v/>
      </c>
      <c r="G19">
        <f>G17*G18</f>
        <v/>
      </c>
      <c r="H19">
        <f>H17*H18</f>
        <v/>
      </c>
      <c r="I19">
        <f>I17*I18</f>
        <v/>
      </c>
      <c r="J19">
        <f>J17*J18</f>
        <v/>
      </c>
      <c r="K19">
        <f>K17*K18</f>
        <v/>
      </c>
      <c r="L19">
        <f>L17*L18</f>
        <v/>
      </c>
      <c r="M19">
        <f>M17*M18</f>
        <v/>
      </c>
      <c r="N19">
        <f>N17*N18</f>
        <v/>
      </c>
      <c r="O19">
        <f>O17*O18</f>
        <v/>
      </c>
      <c r="P19">
        <f>P17*P18</f>
        <v/>
      </c>
      <c r="Q19">
        <f>Q17*Q18</f>
        <v/>
      </c>
      <c r="R19">
        <f>R17*R18</f>
        <v/>
      </c>
    </row>
    <row r="20">
      <c r="A20" t="inlineStr">
        <is>
          <t>Gross margin</t>
        </is>
      </c>
      <c r="C20">
        <f>C19*$B$5</f>
        <v/>
      </c>
      <c r="D20">
        <f>D19*$B$5</f>
        <v/>
      </c>
      <c r="E20">
        <f>E19*$B$5</f>
        <v/>
      </c>
      <c r="F20">
        <f>F19*$B$5</f>
        <v/>
      </c>
      <c r="G20">
        <f>G19*$B$5</f>
        <v/>
      </c>
      <c r="H20">
        <f>H19*$B$5</f>
        <v/>
      </c>
      <c r="I20">
        <f>I19*$B$5</f>
        <v/>
      </c>
      <c r="J20">
        <f>J19*$B$5</f>
        <v/>
      </c>
      <c r="K20">
        <f>K19*$B$5</f>
        <v/>
      </c>
      <c r="L20">
        <f>L19*$B$5</f>
        <v/>
      </c>
      <c r="M20">
        <f>M19*$B$5</f>
        <v/>
      </c>
      <c r="N20">
        <f>N19*$B$5</f>
        <v/>
      </c>
      <c r="O20">
        <f>O19*$B$5</f>
        <v/>
      </c>
      <c r="P20">
        <f>P19*$B$5</f>
        <v/>
      </c>
      <c r="Q20">
        <f>Q19*$B$5</f>
        <v/>
      </c>
      <c r="R20">
        <f>R19*$B$5</f>
        <v/>
      </c>
    </row>
    <row r="21">
      <c r="A21" t="inlineStr">
        <is>
          <t>Wage index</t>
        </is>
      </c>
      <c r="C21">
        <f>IF(C15=1,(1+wage_inflation)^(C14-1),0)</f>
        <v/>
      </c>
      <c r="D21">
        <f>IF(D15=1,(1+wage_inflation)^(D14-1),0)</f>
        <v/>
      </c>
      <c r="E21">
        <f>IF(E15=1,(1+wage_inflation)^(E14-1),0)</f>
        <v/>
      </c>
      <c r="F21">
        <f>IF(F15=1,(1+wage_inflation)^(F14-1),0)</f>
        <v/>
      </c>
      <c r="G21">
        <f>IF(G15=1,(1+wage_inflation)^(G14-1),0)</f>
        <v/>
      </c>
      <c r="H21">
        <f>IF(H15=1,(1+wage_inflation)^(H14-1),0)</f>
        <v/>
      </c>
      <c r="I21">
        <f>IF(I15=1,(1+wage_inflation)^(I14-1),0)</f>
        <v/>
      </c>
      <c r="J21">
        <f>IF(J15=1,(1+wage_inflation)^(J14-1),0)</f>
        <v/>
      </c>
      <c r="K21">
        <f>IF(K15=1,(1+wage_inflation)^(K14-1),0)</f>
        <v/>
      </c>
      <c r="L21">
        <f>IF(L15=1,(1+wage_inflation)^(L14-1),0)</f>
        <v/>
      </c>
      <c r="M21">
        <f>IF(M15=1,(1+wage_inflation)^(M14-1),0)</f>
        <v/>
      </c>
      <c r="N21">
        <f>IF(N15=1,(1+wage_inflation)^(N14-1),0)</f>
        <v/>
      </c>
      <c r="O21">
        <f>IF(O15=1,(1+wage_inflation)^(O14-1),0)</f>
        <v/>
      </c>
      <c r="P21">
        <f>IF(P15=1,(1+wage_inflation)^(P14-1),0)</f>
        <v/>
      </c>
      <c r="Q21">
        <f>IF(Q15=1,(1+wage_inflation)^(Q14-1),0)</f>
        <v/>
      </c>
      <c r="R21">
        <f>IF(R15=1,(1+wage_inflation)^(R14-1),0)</f>
        <v/>
      </c>
    </row>
    <row r="22">
      <c r="A22" t="inlineStr">
        <is>
          <t>Payroll</t>
        </is>
      </c>
      <c r="C22">
        <f>(fixed_payroll*C15+variable_cost_per_k*C17/1000)*C21*$B$11</f>
        <v/>
      </c>
      <c r="D22">
        <f>(fixed_payroll*D15+variable_cost_per_k*D17/1000)*D21*$B$11</f>
        <v/>
      </c>
      <c r="E22">
        <f>(fixed_payroll*E15+variable_cost_per_k*E17/1000)*E21*$B$11</f>
        <v/>
      </c>
      <c r="F22">
        <f>(fixed_payroll*F15+variable_cost_per_k*F17/1000)*F21*$B$11</f>
        <v/>
      </c>
      <c r="G22">
        <f>(fixed_payroll*G15+variable_cost_per_k*G17/1000)*G21*$B$11</f>
        <v/>
      </c>
      <c r="H22">
        <f>(fixed_payroll*H15+variable_cost_per_k*H17/1000)*H21*$B$11</f>
        <v/>
      </c>
      <c r="I22">
        <f>(fixed_payroll*I15+variable_cost_per_k*I17/1000)*I21*$B$11</f>
        <v/>
      </c>
      <c r="J22">
        <f>(fixed_payroll*J15+variable_cost_per_k*J17/1000)*J21*$B$11</f>
        <v/>
      </c>
      <c r="K22">
        <f>(fixed_payroll*K15+variable_cost_per_k*K17/1000)*K21*$B$11</f>
        <v/>
      </c>
      <c r="L22">
        <f>(fixed_payroll*L15+variable_cost_per_k*L17/1000)*L21*$B$11</f>
        <v/>
      </c>
      <c r="M22">
        <f>(fixed_payroll*M15+variable_cost_per_k*M17/1000)*M21*$B$11</f>
        <v/>
      </c>
      <c r="N22">
        <f>(fixed_payroll*N15+variable_cost_per_k*N17/1000)*N21*$B$11</f>
        <v/>
      </c>
      <c r="O22">
        <f>(fixed_payroll*O15+variable_cost_per_k*O17/1000)*O21*$B$11</f>
        <v/>
      </c>
      <c r="P22">
        <f>(fixed_payroll*P15+variable_cost_per_k*P17/1000)*P21*$B$11</f>
        <v/>
      </c>
      <c r="Q22">
        <f>(fixed_payroll*Q15+variable_cost_per_k*Q17/1000)*Q21*$B$11</f>
        <v/>
      </c>
      <c r="R22">
        <f>(fixed_payroll*R15+variable_cost_per_k*R17/1000)*R21*$B$11</f>
        <v/>
      </c>
    </row>
    <row r="23">
      <c r="A23" t="inlineStr">
        <is>
          <t>Rent</t>
        </is>
      </c>
      <c r="C23">
        <f>$B$6*(1+IF(C14&gt;=6,rent_review_uplift,0))*C15*$B$10</f>
        <v/>
      </c>
      <c r="D23">
        <f>$B$6*(1+IF(D14&gt;=6,rent_review_uplift,0))*D15*$B$10</f>
        <v/>
      </c>
      <c r="E23">
        <f>$B$6*(1+IF(E14&gt;=6,rent_review_uplift,0))*E15*$B$10</f>
        <v/>
      </c>
      <c r="F23">
        <f>$B$6*(1+IF(F14&gt;=6,rent_review_uplift,0))*F15*$B$10</f>
        <v/>
      </c>
      <c r="G23">
        <f>$B$6*(1+IF(G14&gt;=6,rent_review_uplift,0))*G15*$B$10</f>
        <v/>
      </c>
      <c r="H23">
        <f>$B$6*(1+IF(H14&gt;=6,rent_review_uplift,0))*H15*$B$10</f>
        <v/>
      </c>
      <c r="I23">
        <f>$B$6*(1+IF(I14&gt;=6,rent_review_uplift,0))*I15*$B$10</f>
        <v/>
      </c>
      <c r="J23">
        <f>$B$6*(1+IF(J14&gt;=6,rent_review_uplift,0))*J15*$B$10</f>
        <v/>
      </c>
      <c r="K23">
        <f>$B$6*(1+IF(K14&gt;=6,rent_review_uplift,0))*K15*$B$10</f>
        <v/>
      </c>
      <c r="L23">
        <f>$B$6*(1+IF(L14&gt;=6,rent_review_uplift,0))*L15*$B$10</f>
        <v/>
      </c>
      <c r="M23">
        <f>$B$6*(1+IF(M14&gt;=6,rent_review_uplift,0))*M15*$B$10</f>
        <v/>
      </c>
      <c r="N23">
        <f>$B$6*(1+IF(N14&gt;=6,rent_review_uplift,0))*N15*$B$10</f>
        <v/>
      </c>
      <c r="O23">
        <f>$B$6*(1+IF(O14&gt;=6,rent_review_uplift,0))*O15*$B$10</f>
        <v/>
      </c>
      <c r="P23">
        <f>$B$6*(1+IF(P14&gt;=6,rent_review_uplift,0))*P15*$B$10</f>
        <v/>
      </c>
      <c r="Q23">
        <f>$B$6*(1+IF(Q14&gt;=6,rent_review_uplift,0))*Q15*$B$10</f>
        <v/>
      </c>
      <c r="R23">
        <f>$B$6*(1+IF(R14&gt;=6,rent_review_uplift,0))*R15*$B$10</f>
        <v/>
      </c>
    </row>
    <row r="24">
      <c r="A24" t="inlineStr">
        <is>
          <t>Cost index</t>
        </is>
      </c>
      <c r="C24">
        <f>IF(C15=1,(1+cost_inflation)^(C14-1),0)</f>
        <v/>
      </c>
      <c r="D24">
        <f>IF(D15=1,(1+cost_inflation)^(D14-1),0)</f>
        <v/>
      </c>
      <c r="E24">
        <f>IF(E15=1,(1+cost_inflation)^(E14-1),0)</f>
        <v/>
      </c>
      <c r="F24">
        <f>IF(F15=1,(1+cost_inflation)^(F14-1),0)</f>
        <v/>
      </c>
      <c r="G24">
        <f>IF(G15=1,(1+cost_inflation)^(G14-1),0)</f>
        <v/>
      </c>
      <c r="H24">
        <f>IF(H15=1,(1+cost_inflation)^(H14-1),0)</f>
        <v/>
      </c>
      <c r="I24">
        <f>IF(I15=1,(1+cost_inflation)^(I14-1),0)</f>
        <v/>
      </c>
      <c r="J24">
        <f>IF(J15=1,(1+cost_inflation)^(J14-1),0)</f>
        <v/>
      </c>
      <c r="K24">
        <f>IF(K15=1,(1+cost_inflation)^(K14-1),0)</f>
        <v/>
      </c>
      <c r="L24">
        <f>IF(L15=1,(1+cost_inflation)^(L14-1),0)</f>
        <v/>
      </c>
      <c r="M24">
        <f>IF(M15=1,(1+cost_inflation)^(M14-1),0)</f>
        <v/>
      </c>
      <c r="N24">
        <f>IF(N15=1,(1+cost_inflation)^(N14-1),0)</f>
        <v/>
      </c>
      <c r="O24">
        <f>IF(O15=1,(1+cost_inflation)^(O14-1),0)</f>
        <v/>
      </c>
      <c r="P24">
        <f>IF(P15=1,(1+cost_inflation)^(P14-1),0)</f>
        <v/>
      </c>
      <c r="Q24">
        <f>IF(Q15=1,(1+cost_inflation)^(Q14-1),0)</f>
        <v/>
      </c>
      <c r="R24">
        <f>IF(R15=1,(1+cost_inflation)^(R14-1),0)</f>
        <v/>
      </c>
    </row>
    <row r="25">
      <c r="A25" t="inlineStr">
        <is>
          <t>Business rates</t>
        </is>
      </c>
      <c r="C25">
        <f>rateable_value*IF(rateable_value&lt;51000,rates_multiplier_rhl_small,IF(rateable_value&lt;500000,rates_multiplier_rhl_standard,rates_multiplier_high_value))*C24</f>
        <v/>
      </c>
      <c r="D25">
        <f>rateable_value*IF(rateable_value&lt;51000,rates_multiplier_rhl_small,IF(rateable_value&lt;500000,rates_multiplier_rhl_standard,rates_multiplier_high_value))*D24</f>
        <v/>
      </c>
      <c r="E25">
        <f>rateable_value*IF(rateable_value&lt;51000,rates_multiplier_rhl_small,IF(rateable_value&lt;500000,rates_multiplier_rhl_standard,rates_multiplier_high_value))*E24</f>
        <v/>
      </c>
      <c r="F25">
        <f>rateable_value*IF(rateable_value&lt;51000,rates_multiplier_rhl_small,IF(rateable_value&lt;500000,rates_multiplier_rhl_standard,rates_multiplier_high_value))*F24</f>
        <v/>
      </c>
      <c r="G25">
        <f>rateable_value*IF(rateable_value&lt;51000,rates_multiplier_rhl_small,IF(rateable_value&lt;500000,rates_multiplier_rhl_standard,rates_multiplier_high_value))*G24</f>
        <v/>
      </c>
      <c r="H25">
        <f>rateable_value*IF(rateable_value&lt;51000,rates_multiplier_rhl_small,IF(rateable_value&lt;500000,rates_multiplier_rhl_standard,rates_multiplier_high_value))*H24</f>
        <v/>
      </c>
      <c r="I25">
        <f>rateable_value*IF(rateable_value&lt;51000,rates_multiplier_rhl_small,IF(rateable_value&lt;500000,rates_multiplier_rhl_standard,rates_multiplier_high_value))*I24</f>
        <v/>
      </c>
      <c r="J25">
        <f>rateable_value*IF(rateable_value&lt;51000,rates_multiplier_rhl_small,IF(rateable_value&lt;500000,rates_multiplier_rhl_standard,rates_multiplier_high_value))*J24</f>
        <v/>
      </c>
      <c r="K25">
        <f>rateable_value*IF(rateable_value&lt;51000,rates_multiplier_rhl_small,IF(rateable_value&lt;500000,rates_multiplier_rhl_standard,rates_multiplier_high_value))*K24</f>
        <v/>
      </c>
      <c r="L25">
        <f>rateable_value*IF(rateable_value&lt;51000,rates_multiplier_rhl_small,IF(rateable_value&lt;500000,rates_multiplier_rhl_standard,rates_multiplier_high_value))*L24</f>
        <v/>
      </c>
      <c r="M25">
        <f>rateable_value*IF(rateable_value&lt;51000,rates_multiplier_rhl_small,IF(rateable_value&lt;500000,rates_multiplier_rhl_standard,rates_multiplier_high_value))*M24</f>
        <v/>
      </c>
      <c r="N25">
        <f>rateable_value*IF(rateable_value&lt;51000,rates_multiplier_rhl_small,IF(rateable_value&lt;500000,rates_multiplier_rhl_standard,rates_multiplier_high_value))*N24</f>
        <v/>
      </c>
      <c r="O25">
        <f>rateable_value*IF(rateable_value&lt;51000,rates_multiplier_rhl_small,IF(rateable_value&lt;500000,rates_multiplier_rhl_standard,rates_multiplier_high_value))*O24</f>
        <v/>
      </c>
      <c r="P25">
        <f>rateable_value*IF(rateable_value&lt;51000,rates_multiplier_rhl_small,IF(rateable_value&lt;500000,rates_multiplier_rhl_standard,rates_multiplier_high_value))*P24</f>
        <v/>
      </c>
      <c r="Q25">
        <f>rateable_value*IF(rateable_value&lt;51000,rates_multiplier_rhl_small,IF(rateable_value&lt;500000,rates_multiplier_rhl_standard,rates_multiplier_high_value))*Q24</f>
        <v/>
      </c>
      <c r="R25">
        <f>rateable_value*IF(rateable_value&lt;51000,rates_multiplier_rhl_small,IF(rateable_value&lt;500000,rates_multiplier_rhl_standard,rates_multiplier_high_value))*R24</f>
        <v/>
      </c>
    </row>
    <row r="26">
      <c r="A26" t="inlineStr">
        <is>
          <t>Service charge, utilities, insurance</t>
        </is>
      </c>
      <c r="C26">
        <f>occupancy_other_psf*area_sqft*C24</f>
        <v/>
      </c>
      <c r="D26">
        <f>occupancy_other_psf*area_sqft*D24</f>
        <v/>
      </c>
      <c r="E26">
        <f>occupancy_other_psf*area_sqft*E24</f>
        <v/>
      </c>
      <c r="F26">
        <f>occupancy_other_psf*area_sqft*F24</f>
        <v/>
      </c>
      <c r="G26">
        <f>occupancy_other_psf*area_sqft*G24</f>
        <v/>
      </c>
      <c r="H26">
        <f>occupancy_other_psf*area_sqft*H24</f>
        <v/>
      </c>
      <c r="I26">
        <f>occupancy_other_psf*area_sqft*I24</f>
        <v/>
      </c>
      <c r="J26">
        <f>occupancy_other_psf*area_sqft*J24</f>
        <v/>
      </c>
      <c r="K26">
        <f>occupancy_other_psf*area_sqft*K24</f>
        <v/>
      </c>
      <c r="L26">
        <f>occupancy_other_psf*area_sqft*L24</f>
        <v/>
      </c>
      <c r="M26">
        <f>occupancy_other_psf*area_sqft*M24</f>
        <v/>
      </c>
      <c r="N26">
        <f>occupancy_other_psf*area_sqft*N24</f>
        <v/>
      </c>
      <c r="O26">
        <f>occupancy_other_psf*area_sqft*O24</f>
        <v/>
      </c>
      <c r="P26">
        <f>occupancy_other_psf*area_sqft*P24</f>
        <v/>
      </c>
      <c r="Q26">
        <f>occupancy_other_psf*area_sqft*Q24</f>
        <v/>
      </c>
      <c r="R26">
        <f>occupancy_other_psf*area_sqft*R24</f>
        <v/>
      </c>
    </row>
    <row r="27">
      <c r="A27" t="inlineStr">
        <is>
          <t>Other store opex</t>
        </is>
      </c>
      <c r="C27">
        <f>C19*other_opex_pct_sales</f>
        <v/>
      </c>
      <c r="D27">
        <f>D19*other_opex_pct_sales</f>
        <v/>
      </c>
      <c r="E27">
        <f>E19*other_opex_pct_sales</f>
        <v/>
      </c>
      <c r="F27">
        <f>F19*other_opex_pct_sales</f>
        <v/>
      </c>
      <c r="G27">
        <f>G19*other_opex_pct_sales</f>
        <v/>
      </c>
      <c r="H27">
        <f>H19*other_opex_pct_sales</f>
        <v/>
      </c>
      <c r="I27">
        <f>I19*other_opex_pct_sales</f>
        <v/>
      </c>
      <c r="J27">
        <f>J19*other_opex_pct_sales</f>
        <v/>
      </c>
      <c r="K27">
        <f>K19*other_opex_pct_sales</f>
        <v/>
      </c>
      <c r="L27">
        <f>L19*other_opex_pct_sales</f>
        <v/>
      </c>
      <c r="M27">
        <f>M19*other_opex_pct_sales</f>
        <v/>
      </c>
      <c r="N27">
        <f>N19*other_opex_pct_sales</f>
        <v/>
      </c>
      <c r="O27">
        <f>O19*other_opex_pct_sales</f>
        <v/>
      </c>
      <c r="P27">
        <f>P19*other_opex_pct_sales</f>
        <v/>
      </c>
      <c r="Q27">
        <f>Q19*other_opex_pct_sales</f>
        <v/>
      </c>
      <c r="R27">
        <f>R19*other_opex_pct_sales</f>
        <v/>
      </c>
    </row>
    <row r="28">
      <c r="A28" t="inlineStr">
        <is>
          <t>Store EBITDA (4-wall)</t>
        </is>
      </c>
      <c r="C28">
        <f>C20-C22-C23-C25-C26-C27</f>
        <v/>
      </c>
      <c r="D28">
        <f>D20-D22-D23-D25-D26-D27</f>
        <v/>
      </c>
      <c r="E28">
        <f>E20-E22-E23-E25-E26-E27</f>
        <v/>
      </c>
      <c r="F28">
        <f>F20-F22-F23-F25-F26-F27</f>
        <v/>
      </c>
      <c r="G28">
        <f>G20-G22-G23-G25-G26-G27</f>
        <v/>
      </c>
      <c r="H28">
        <f>H20-H22-H23-H25-H26-H27</f>
        <v/>
      </c>
      <c r="I28">
        <f>I20-I22-I23-I25-I26-I27</f>
        <v/>
      </c>
      <c r="J28">
        <f>J20-J22-J23-J25-J26-J27</f>
        <v/>
      </c>
      <c r="K28">
        <f>K20-K22-K23-K25-K26-K27</f>
        <v/>
      </c>
      <c r="L28">
        <f>L20-L22-L23-L25-L26-L27</f>
        <v/>
      </c>
      <c r="M28">
        <f>M20-M22-M23-M25-M26-M27</f>
        <v/>
      </c>
      <c r="N28">
        <f>N20-N22-N23-N25-N26-N27</f>
        <v/>
      </c>
      <c r="O28">
        <f>O20-O22-O23-O25-O26-O27</f>
        <v/>
      </c>
      <c r="P28">
        <f>P20-P22-P23-P25-P26-P27</f>
        <v/>
      </c>
      <c r="Q28">
        <f>Q20-Q22-Q23-Q25-Q26-Q27</f>
        <v/>
      </c>
      <c r="R28">
        <f>R20-R22-R23-R25-R26-R27</f>
        <v/>
      </c>
    </row>
    <row r="29">
      <c r="A29" t="inlineStr">
        <is>
          <t>Pre-opening costs</t>
        </is>
      </c>
      <c r="C29">
        <f>IF(C14=0,pre_opening_costs,0)</f>
        <v/>
      </c>
      <c r="D29">
        <f>IF(D14=0,pre_opening_costs,0)</f>
        <v/>
      </c>
      <c r="E29">
        <f>IF(E14=0,pre_opening_costs,0)</f>
        <v/>
      </c>
      <c r="F29">
        <f>IF(F14=0,pre_opening_costs,0)</f>
        <v/>
      </c>
      <c r="G29">
        <f>IF(G14=0,pre_opening_costs,0)</f>
        <v/>
      </c>
      <c r="H29">
        <f>IF(H14=0,pre_opening_costs,0)</f>
        <v/>
      </c>
      <c r="I29">
        <f>IF(I14=0,pre_opening_costs,0)</f>
        <v/>
      </c>
      <c r="J29">
        <f>IF(J14=0,pre_opening_costs,0)</f>
        <v/>
      </c>
      <c r="K29">
        <f>IF(K14=0,pre_opening_costs,0)</f>
        <v/>
      </c>
      <c r="L29">
        <f>IF(L14=0,pre_opening_costs,0)</f>
        <v/>
      </c>
      <c r="M29">
        <f>IF(M14=0,pre_opening_costs,0)</f>
        <v/>
      </c>
      <c r="N29">
        <f>IF(N14=0,pre_opening_costs,0)</f>
        <v/>
      </c>
      <c r="O29">
        <f>IF(O14=0,pre_opening_costs,0)</f>
        <v/>
      </c>
      <c r="P29">
        <f>IF(P14=0,pre_opening_costs,0)</f>
        <v/>
      </c>
      <c r="Q29">
        <f>IF(Q14=0,pre_opening_costs,0)</f>
        <v/>
      </c>
      <c r="R29">
        <f>IF(R14=0,pre_opening_costs,0)</f>
        <v/>
      </c>
    </row>
    <row r="30">
      <c r="A30" t="inlineStr">
        <is>
          <t>Fit-out capex</t>
        </is>
      </c>
      <c r="C30">
        <f>IF(C14=0,$B$7,0)</f>
        <v/>
      </c>
      <c r="D30">
        <f>IF(D14=0,$B$7,0)</f>
        <v/>
      </c>
      <c r="E30">
        <f>IF(E14=0,$B$7,0)</f>
        <v/>
      </c>
      <c r="F30">
        <f>IF(F14=0,$B$7,0)</f>
        <v/>
      </c>
      <c r="G30">
        <f>IF(G14=0,$B$7,0)</f>
        <v/>
      </c>
      <c r="H30">
        <f>IF(H14=0,$B$7,0)</f>
        <v/>
      </c>
      <c r="I30">
        <f>IF(I14=0,$B$7,0)</f>
        <v/>
      </c>
      <c r="J30">
        <f>IF(J14=0,$B$7,0)</f>
        <v/>
      </c>
      <c r="K30">
        <f>IF(K14=0,$B$7,0)</f>
        <v/>
      </c>
      <c r="L30">
        <f>IF(L14=0,$B$7,0)</f>
        <v/>
      </c>
      <c r="M30">
        <f>IF(M14=0,$B$7,0)</f>
        <v/>
      </c>
      <c r="N30">
        <f>IF(N14=0,$B$7,0)</f>
        <v/>
      </c>
      <c r="O30">
        <f>IF(O14=0,$B$7,0)</f>
        <v/>
      </c>
      <c r="P30">
        <f>IF(P14=0,$B$7,0)</f>
        <v/>
      </c>
      <c r="Q30">
        <f>IF(Q14=0,$B$7,0)</f>
        <v/>
      </c>
      <c r="R30">
        <f>IF(R14=0,$B$7,0)</f>
        <v/>
      </c>
    </row>
    <row r="31">
      <c r="A31" t="inlineStr">
        <is>
          <t>Tax depreciation</t>
        </is>
      </c>
      <c r="C31">
        <f>IF(AND(C14&gt;=1,C14&lt;=tax_depreciation_years,C14&lt;=lease_term_years),$B$7/tax_depreciation_years,0)</f>
        <v/>
      </c>
      <c r="D31">
        <f>IF(AND(D14&gt;=1,D14&lt;=tax_depreciation_years,D14&lt;=lease_term_years),$B$7/tax_depreciation_years,0)</f>
        <v/>
      </c>
      <c r="E31">
        <f>IF(AND(E14&gt;=1,E14&lt;=tax_depreciation_years,E14&lt;=lease_term_years),$B$7/tax_depreciation_years,0)</f>
        <v/>
      </c>
      <c r="F31">
        <f>IF(AND(F14&gt;=1,F14&lt;=tax_depreciation_years,F14&lt;=lease_term_years),$B$7/tax_depreciation_years,0)</f>
        <v/>
      </c>
      <c r="G31">
        <f>IF(AND(G14&gt;=1,G14&lt;=tax_depreciation_years,G14&lt;=lease_term_years),$B$7/tax_depreciation_years,0)</f>
        <v/>
      </c>
      <c r="H31">
        <f>IF(AND(H14&gt;=1,H14&lt;=tax_depreciation_years,H14&lt;=lease_term_years),$B$7/tax_depreciation_years,0)</f>
        <v/>
      </c>
      <c r="I31">
        <f>IF(AND(I14&gt;=1,I14&lt;=tax_depreciation_years,I14&lt;=lease_term_years),$B$7/tax_depreciation_years,0)</f>
        <v/>
      </c>
      <c r="J31">
        <f>IF(AND(J14&gt;=1,J14&lt;=tax_depreciation_years,J14&lt;=lease_term_years),$B$7/tax_depreciation_years,0)</f>
        <v/>
      </c>
      <c r="K31">
        <f>IF(AND(K14&gt;=1,K14&lt;=tax_depreciation_years,K14&lt;=lease_term_years),$B$7/tax_depreciation_years,0)</f>
        <v/>
      </c>
      <c r="L31">
        <f>IF(AND(L14&gt;=1,L14&lt;=tax_depreciation_years,L14&lt;=lease_term_years),$B$7/tax_depreciation_years,0)</f>
        <v/>
      </c>
      <c r="M31">
        <f>IF(AND(M14&gt;=1,M14&lt;=tax_depreciation_years,M14&lt;=lease_term_years),$B$7/tax_depreciation_years,0)</f>
        <v/>
      </c>
      <c r="N31">
        <f>IF(AND(N14&gt;=1,N14&lt;=tax_depreciation_years,N14&lt;=lease_term_years),$B$7/tax_depreciation_years,0)</f>
        <v/>
      </c>
      <c r="O31">
        <f>IF(AND(O14&gt;=1,O14&lt;=tax_depreciation_years,O14&lt;=lease_term_years),$B$7/tax_depreciation_years,0)</f>
        <v/>
      </c>
      <c r="P31">
        <f>IF(AND(P14&gt;=1,P14&lt;=tax_depreciation_years,P14&lt;=lease_term_years),$B$7/tax_depreciation_years,0)</f>
        <v/>
      </c>
      <c r="Q31">
        <f>IF(AND(Q14&gt;=1,Q14&lt;=tax_depreciation_years,Q14&lt;=lease_term_years),$B$7/tax_depreciation_years,0)</f>
        <v/>
      </c>
      <c r="R31">
        <f>IF(AND(R14&gt;=1,R14&lt;=tax_depreciation_years,R14&lt;=lease_term_years),$B$7/tax_depreciation_years,0)</f>
        <v/>
      </c>
    </row>
    <row r="32">
      <c r="A32" t="inlineStr">
        <is>
          <t>Dilapidations</t>
        </is>
      </c>
      <c r="C32">
        <f>IF(C14=lease_term_years,dilapidations_at_exit,0)</f>
        <v/>
      </c>
      <c r="D32">
        <f>IF(D14=lease_term_years,dilapidations_at_exit,0)</f>
        <v/>
      </c>
      <c r="E32">
        <f>IF(E14=lease_term_years,dilapidations_at_exit,0)</f>
        <v/>
      </c>
      <c r="F32">
        <f>IF(F14=lease_term_years,dilapidations_at_exit,0)</f>
        <v/>
      </c>
      <c r="G32">
        <f>IF(G14=lease_term_years,dilapidations_at_exit,0)</f>
        <v/>
      </c>
      <c r="H32">
        <f>IF(H14=lease_term_years,dilapidations_at_exit,0)</f>
        <v/>
      </c>
      <c r="I32">
        <f>IF(I14=lease_term_years,dilapidations_at_exit,0)</f>
        <v/>
      </c>
      <c r="J32">
        <f>IF(J14=lease_term_years,dilapidations_at_exit,0)</f>
        <v/>
      </c>
      <c r="K32">
        <f>IF(K14=lease_term_years,dilapidations_at_exit,0)</f>
        <v/>
      </c>
      <c r="L32">
        <f>IF(L14=lease_term_years,dilapidations_at_exit,0)</f>
        <v/>
      </c>
      <c r="M32">
        <f>IF(M14=lease_term_years,dilapidations_at_exit,0)</f>
        <v/>
      </c>
      <c r="N32">
        <f>IF(N14=lease_term_years,dilapidations_at_exit,0)</f>
        <v/>
      </c>
      <c r="O32">
        <f>IF(O14=lease_term_years,dilapidations_at_exit,0)</f>
        <v/>
      </c>
      <c r="P32">
        <f>IF(P14=lease_term_years,dilapidations_at_exit,0)</f>
        <v/>
      </c>
      <c r="Q32">
        <f>IF(Q14=lease_term_years,dilapidations_at_exit,0)</f>
        <v/>
      </c>
      <c r="R32">
        <f>IF(R14=lease_term_years,dilapidations_at_exit,0)</f>
        <v/>
      </c>
    </row>
    <row r="33">
      <c r="A33" t="inlineStr">
        <is>
          <t>Taxable profit</t>
        </is>
      </c>
      <c r="C33">
        <f>C28-C29-C31-C32</f>
        <v/>
      </c>
      <c r="D33">
        <f>D28-D29-D31-D32</f>
        <v/>
      </c>
      <c r="E33">
        <f>E28-E29-E31-E32</f>
        <v/>
      </c>
      <c r="F33">
        <f>F28-F29-F31-F32</f>
        <v/>
      </c>
      <c r="G33">
        <f>G28-G29-G31-G32</f>
        <v/>
      </c>
      <c r="H33">
        <f>H28-H29-H31-H32</f>
        <v/>
      </c>
      <c r="I33">
        <f>I28-I29-I31-I32</f>
        <v/>
      </c>
      <c r="J33">
        <f>J28-J29-J31-J32</f>
        <v/>
      </c>
      <c r="K33">
        <f>K28-K29-K31-K32</f>
        <v/>
      </c>
      <c r="L33">
        <f>L28-L29-L31-L32</f>
        <v/>
      </c>
      <c r="M33">
        <f>M28-M29-M31-M32</f>
        <v/>
      </c>
      <c r="N33">
        <f>N28-N29-N31-N32</f>
        <v/>
      </c>
      <c r="O33">
        <f>O28-O29-O31-O32</f>
        <v/>
      </c>
      <c r="P33">
        <f>P28-P29-P31-P32</f>
        <v/>
      </c>
      <c r="Q33">
        <f>Q28-Q29-Q31-Q32</f>
        <v/>
      </c>
      <c r="R33">
        <f>R28-R29-R31-R32</f>
        <v/>
      </c>
    </row>
    <row r="34">
      <c r="A34" t="inlineStr">
        <is>
          <t>Tax (negative = group relief)</t>
        </is>
      </c>
      <c r="C34">
        <f>C33*tax_rate</f>
        <v/>
      </c>
      <c r="D34">
        <f>D33*tax_rate</f>
        <v/>
      </c>
      <c r="E34">
        <f>E33*tax_rate</f>
        <v/>
      </c>
      <c r="F34">
        <f>F33*tax_rate</f>
        <v/>
      </c>
      <c r="G34">
        <f>G33*tax_rate</f>
        <v/>
      </c>
      <c r="H34">
        <f>H33*tax_rate</f>
        <v/>
      </c>
      <c r="I34">
        <f>I33*tax_rate</f>
        <v/>
      </c>
      <c r="J34">
        <f>J33*tax_rate</f>
        <v/>
      </c>
      <c r="K34">
        <f>K33*tax_rate</f>
        <v/>
      </c>
      <c r="L34">
        <f>L33*tax_rate</f>
        <v/>
      </c>
      <c r="M34">
        <f>M33*tax_rate</f>
        <v/>
      </c>
      <c r="N34">
        <f>N33*tax_rate</f>
        <v/>
      </c>
      <c r="O34">
        <f>O33*tax_rate</f>
        <v/>
      </c>
      <c r="P34">
        <f>P33*tax_rate</f>
        <v/>
      </c>
      <c r="Q34">
        <f>Q33*tax_rate</f>
        <v/>
      </c>
      <c r="R34">
        <f>R33*tax_rate</f>
        <v/>
      </c>
    </row>
    <row r="35">
      <c r="A35" t="inlineStr">
        <is>
          <t>Stock held</t>
        </is>
      </c>
      <c r="C35">
        <f>IF(C14&lt;lease_term_years,stock_pct_sales*D19,0)</f>
        <v/>
      </c>
      <c r="D35">
        <f>IF(D14&lt;lease_term_years,stock_pct_sales*E19,0)</f>
        <v/>
      </c>
      <c r="E35">
        <f>IF(E14&lt;lease_term_years,stock_pct_sales*F19,0)</f>
        <v/>
      </c>
      <c r="F35">
        <f>IF(F14&lt;lease_term_years,stock_pct_sales*G19,0)</f>
        <v/>
      </c>
      <c r="G35">
        <f>IF(G14&lt;lease_term_years,stock_pct_sales*H19,0)</f>
        <v/>
      </c>
      <c r="H35">
        <f>IF(H14&lt;lease_term_years,stock_pct_sales*I19,0)</f>
        <v/>
      </c>
      <c r="I35">
        <f>IF(I14&lt;lease_term_years,stock_pct_sales*J19,0)</f>
        <v/>
      </c>
      <c r="J35">
        <f>IF(J14&lt;lease_term_years,stock_pct_sales*K19,0)</f>
        <v/>
      </c>
      <c r="K35">
        <f>IF(K14&lt;lease_term_years,stock_pct_sales*L19,0)</f>
        <v/>
      </c>
      <c r="L35">
        <f>IF(L14&lt;lease_term_years,stock_pct_sales*M19,0)</f>
        <v/>
      </c>
      <c r="M35">
        <f>IF(M14&lt;lease_term_years,stock_pct_sales*N19,0)</f>
        <v/>
      </c>
      <c r="N35">
        <f>IF(N14&lt;lease_term_years,stock_pct_sales*O19,0)</f>
        <v/>
      </c>
      <c r="O35">
        <f>IF(O14&lt;lease_term_years,stock_pct_sales*P19,0)</f>
        <v/>
      </c>
      <c r="P35">
        <f>IF(P14&lt;lease_term_years,stock_pct_sales*Q19,0)</f>
        <v/>
      </c>
      <c r="Q35">
        <f>IF(Q14&lt;lease_term_years,stock_pct_sales*R19,0)</f>
        <v/>
      </c>
      <c r="R35">
        <f>0</f>
        <v/>
      </c>
    </row>
    <row r="36">
      <c r="A36" t="inlineStr">
        <is>
          <t>Change in stock</t>
        </is>
      </c>
      <c r="C36">
        <f>C35</f>
        <v/>
      </c>
      <c r="D36">
        <f>D35-C35</f>
        <v/>
      </c>
      <c r="E36">
        <f>E35-D35</f>
        <v/>
      </c>
      <c r="F36">
        <f>F35-E35</f>
        <v/>
      </c>
      <c r="G36">
        <f>G35-F35</f>
        <v/>
      </c>
      <c r="H36">
        <f>H35-G35</f>
        <v/>
      </c>
      <c r="I36">
        <f>I35-H35</f>
        <v/>
      </c>
      <c r="J36">
        <f>J35-I35</f>
        <v/>
      </c>
      <c r="K36">
        <f>K35-J35</f>
        <v/>
      </c>
      <c r="L36">
        <f>L35-K35</f>
        <v/>
      </c>
      <c r="M36">
        <f>M35-L35</f>
        <v/>
      </c>
      <c r="N36">
        <f>N35-M35</f>
        <v/>
      </c>
      <c r="O36">
        <f>O35-N35</f>
        <v/>
      </c>
      <c r="P36">
        <f>P35-O35</f>
        <v/>
      </c>
      <c r="Q36">
        <f>Q35-P35</f>
        <v/>
      </c>
      <c r="R36">
        <f>R35-Q35</f>
        <v/>
      </c>
    </row>
    <row r="37">
      <c r="A37" t="inlineStr">
        <is>
          <t>Free cash flow</t>
        </is>
      </c>
      <c r="C37">
        <f>C28-C29-C34-C30-C36-C32</f>
        <v/>
      </c>
      <c r="D37">
        <f>D28-D29-D34-D30-D36-D32</f>
        <v/>
      </c>
      <c r="E37">
        <f>E28-E29-E34-E30-E36-E32</f>
        <v/>
      </c>
      <c r="F37">
        <f>F28-F29-F34-F30-F36-F32</f>
        <v/>
      </c>
      <c r="G37">
        <f>G28-G29-G34-G30-G36-G32</f>
        <v/>
      </c>
      <c r="H37">
        <f>H28-H29-H34-H30-H36-H32</f>
        <v/>
      </c>
      <c r="I37">
        <f>I28-I29-I34-I30-I36-I32</f>
        <v/>
      </c>
      <c r="J37">
        <f>J28-J29-J34-J30-J36-J32</f>
        <v/>
      </c>
      <c r="K37">
        <f>K28-K29-K34-K30-K36-K32</f>
        <v/>
      </c>
      <c r="L37">
        <f>L28-L29-L34-L30-L36-L32</f>
        <v/>
      </c>
      <c r="M37">
        <f>M28-M29-M34-M30-M36-M32</f>
        <v/>
      </c>
      <c r="N37">
        <f>N28-N29-N34-N30-N36-N32</f>
        <v/>
      </c>
      <c r="O37">
        <f>O28-O29-O34-O30-O36-O32</f>
        <v/>
      </c>
      <c r="P37">
        <f>P28-P29-P34-P30-P36-P32</f>
        <v/>
      </c>
      <c r="Q37">
        <f>Q28-Q29-Q34-Q30-Q36-Q32</f>
        <v/>
      </c>
      <c r="R37">
        <f>R28-R29-R34-R30-R36-R32</f>
        <v/>
      </c>
    </row>
    <row r="38">
      <c r="A38" t="inlineStr">
        <is>
          <t>Discount factor</t>
        </is>
      </c>
      <c r="C38">
        <f>1/(1+discount_rate)^C14</f>
        <v/>
      </c>
      <c r="D38">
        <f>1/(1+discount_rate)^D14</f>
        <v/>
      </c>
      <c r="E38">
        <f>1/(1+discount_rate)^E14</f>
        <v/>
      </c>
      <c r="F38">
        <f>1/(1+discount_rate)^F14</f>
        <v/>
      </c>
      <c r="G38">
        <f>1/(1+discount_rate)^G14</f>
        <v/>
      </c>
      <c r="H38">
        <f>1/(1+discount_rate)^H14</f>
        <v/>
      </c>
      <c r="I38">
        <f>1/(1+discount_rate)^I14</f>
        <v/>
      </c>
      <c r="J38">
        <f>1/(1+discount_rate)^J14</f>
        <v/>
      </c>
      <c r="K38">
        <f>1/(1+discount_rate)^K14</f>
        <v/>
      </c>
      <c r="L38">
        <f>1/(1+discount_rate)^L14</f>
        <v/>
      </c>
      <c r="M38">
        <f>1/(1+discount_rate)^M14</f>
        <v/>
      </c>
      <c r="N38">
        <f>1/(1+discount_rate)^N14</f>
        <v/>
      </c>
      <c r="O38">
        <f>1/(1+discount_rate)^O14</f>
        <v/>
      </c>
      <c r="P38">
        <f>1/(1+discount_rate)^P14</f>
        <v/>
      </c>
      <c r="Q38">
        <f>1/(1+discount_rate)^Q14</f>
        <v/>
      </c>
      <c r="R38">
        <f>1/(1+discount_rate)^R14</f>
        <v/>
      </c>
    </row>
    <row r="39">
      <c r="A39" t="inlineStr">
        <is>
          <t>Present value</t>
        </is>
      </c>
      <c r="C39">
        <f>C37*C38</f>
        <v/>
      </c>
      <c r="D39">
        <f>D37*D38</f>
        <v/>
      </c>
      <c r="E39">
        <f>E37*E38</f>
        <v/>
      </c>
      <c r="F39">
        <f>F37*F38</f>
        <v/>
      </c>
      <c r="G39">
        <f>G37*G38</f>
        <v/>
      </c>
      <c r="H39">
        <f>H37*H38</f>
        <v/>
      </c>
      <c r="I39">
        <f>I37*I38</f>
        <v/>
      </c>
      <c r="J39">
        <f>J37*J38</f>
        <v/>
      </c>
      <c r="K39">
        <f>K37*K38</f>
        <v/>
      </c>
      <c r="L39">
        <f>L37*L38</f>
        <v/>
      </c>
      <c r="M39">
        <f>M37*M38</f>
        <v/>
      </c>
      <c r="N39">
        <f>N37*N38</f>
        <v/>
      </c>
      <c r="O39">
        <f>O37*O38</f>
        <v/>
      </c>
      <c r="P39">
        <f>P37*P38</f>
        <v/>
      </c>
      <c r="Q39">
        <f>Q37*Q38</f>
        <v/>
      </c>
      <c r="R39">
        <f>R37*R38</f>
        <v/>
      </c>
    </row>
    <row r="40">
      <c r="A40" t="inlineStr">
        <is>
          <t>Cumulative cash flow</t>
        </is>
      </c>
      <c r="C40">
        <f>C37</f>
        <v/>
      </c>
      <c r="D40">
        <f>C40+D37</f>
        <v/>
      </c>
      <c r="E40">
        <f>D40+E37</f>
        <v/>
      </c>
      <c r="F40">
        <f>E40+F37</f>
        <v/>
      </c>
      <c r="G40">
        <f>F40+G37</f>
        <v/>
      </c>
      <c r="H40">
        <f>G40+H37</f>
        <v/>
      </c>
      <c r="I40">
        <f>H40+I37</f>
        <v/>
      </c>
      <c r="J40">
        <f>I40+J37</f>
        <v/>
      </c>
      <c r="K40">
        <f>J40+K37</f>
        <v/>
      </c>
      <c r="L40">
        <f>K40+L37</f>
        <v/>
      </c>
      <c r="M40">
        <f>L40+M37</f>
        <v/>
      </c>
      <c r="N40">
        <f>M40+N37</f>
        <v/>
      </c>
      <c r="O40">
        <f>N40+O37</f>
        <v/>
      </c>
      <c r="P40">
        <f>O40+P37</f>
        <v/>
      </c>
      <c r="Q40">
        <f>P40+Q37</f>
        <v/>
      </c>
      <c r="R40">
        <f>Q40+R37</f>
        <v/>
      </c>
    </row>
    <row r="41">
      <c r="A41" t="inlineStr">
        <is>
          <t>Payback helper (months)</t>
        </is>
      </c>
      <c r="C41">
        <f>0</f>
        <v/>
      </c>
      <c r="D41">
        <f>IF(AND(C40&lt;0,D40&gt;=0),(D14-1+(-C40)/D37)*12,0)</f>
        <v/>
      </c>
      <c r="E41">
        <f>IF(AND(D40&lt;0,E40&gt;=0),(E14-1+(-D40)/E37)*12,0)</f>
        <v/>
      </c>
      <c r="F41">
        <f>IF(AND(E40&lt;0,F40&gt;=0),(F14-1+(-E40)/F37)*12,0)</f>
        <v/>
      </c>
      <c r="G41">
        <f>IF(AND(F40&lt;0,G40&gt;=0),(G14-1+(-F40)/G37)*12,0)</f>
        <v/>
      </c>
      <c r="H41">
        <f>IF(AND(G40&lt;0,H40&gt;=0),(H14-1+(-G40)/H37)*12,0)</f>
        <v/>
      </c>
      <c r="I41">
        <f>IF(AND(H40&lt;0,I40&gt;=0),(I14-1+(-H40)/I37)*12,0)</f>
        <v/>
      </c>
      <c r="J41">
        <f>IF(AND(I40&lt;0,J40&gt;=0),(J14-1+(-I40)/J37)*12,0)</f>
        <v/>
      </c>
      <c r="K41">
        <f>IF(AND(J40&lt;0,K40&gt;=0),(K14-1+(-J40)/K37)*12,0)</f>
        <v/>
      </c>
      <c r="L41">
        <f>IF(AND(K40&lt;0,L40&gt;=0),(L14-1+(-K40)/L37)*12,0)</f>
        <v/>
      </c>
      <c r="M41">
        <f>IF(AND(L40&lt;0,M40&gt;=0),(M14-1+(-L40)/M37)*12,0)</f>
        <v/>
      </c>
      <c r="N41">
        <f>IF(AND(M40&lt;0,N40&gt;=0),(N14-1+(-M40)/N37)*12,0)</f>
        <v/>
      </c>
      <c r="O41">
        <f>IF(AND(N40&lt;0,O40&gt;=0),(O14-1+(-N40)/O37)*12,0)</f>
        <v/>
      </c>
      <c r="P41">
        <f>IF(AND(O40&lt;0,P40&gt;=0),(P14-1+(-O40)/P37)*12,0)</f>
        <v/>
      </c>
      <c r="Q41">
        <f>IF(AND(P40&lt;0,Q40&gt;=0),(Q14-1+(-P40)/Q37)*12,0)</f>
        <v/>
      </c>
      <c r="R41">
        <f>IF(AND(Q40&lt;0,R40&gt;=0),(R14-1+(-Q40)/R37)*12,0)</f>
        <v/>
      </c>
    </row>
    <row r="43">
      <c r="A43" s="10" t="inlineStr">
        <is>
          <t>npv</t>
        </is>
      </c>
      <c r="B43" s="8">
        <f>SUM($C$39:$R$39)</f>
        <v/>
      </c>
    </row>
    <row r="44">
      <c r="A44" s="10" t="inlineStr">
        <is>
          <t>irr</t>
        </is>
      </c>
      <c r="B44" s="6">
        <f>IRR($C$37:$R$37)</f>
        <v/>
      </c>
    </row>
    <row r="45">
      <c r="A45" s="10" t="inlineStr">
        <is>
          <t>payback_months</t>
        </is>
      </c>
      <c r="B45" s="9">
        <f>IF(SUM($C$41:$R$41)=0,"n/a",SUM($C$41:$R$41))</f>
        <v/>
      </c>
    </row>
    <row r="48">
      <c r="A48" s="10" t="inlineStr">
        <is>
          <t>Scenario: downside</t>
        </is>
      </c>
    </row>
    <row r="49">
      <c r="A49" t="inlineStr">
        <is>
          <t>param: density</t>
        </is>
      </c>
      <c r="B49">
        <f>mature_sales_density_low</f>
        <v/>
      </c>
    </row>
    <row r="50">
      <c r="A50" t="inlineStr">
        <is>
          <t>param: gm</t>
        </is>
      </c>
      <c r="B50">
        <f>product_gross_margin_low</f>
        <v/>
      </c>
    </row>
    <row r="51">
      <c r="A51" t="inlineStr">
        <is>
          <t>param: rent</t>
        </is>
      </c>
      <c r="B51">
        <f>rent_per_year_high</f>
        <v/>
      </c>
    </row>
    <row r="52">
      <c r="A52" t="inlineStr">
        <is>
          <t>param: capex</t>
        </is>
      </c>
      <c r="B52">
        <f>fitout_capex_high</f>
        <v/>
      </c>
    </row>
    <row r="53">
      <c r="A53" t="inlineStr">
        <is>
          <t>param: ramp1</t>
        </is>
      </c>
      <c r="B53">
        <f>ramp_year1_low</f>
        <v/>
      </c>
    </row>
    <row r="54">
      <c r="A54" t="inlineStr">
        <is>
          <t>param: ramp2</t>
        </is>
      </c>
      <c r="B54">
        <f>ramp_year2_low</f>
        <v/>
      </c>
    </row>
    <row r="55">
      <c r="A55" t="inlineStr">
        <is>
          <t>param: rent_mult</t>
        </is>
      </c>
      <c r="B55" t="n">
        <v>1</v>
      </c>
    </row>
    <row r="56">
      <c r="A56" t="inlineStr">
        <is>
          <t>param: payroll_mult</t>
        </is>
      </c>
      <c r="B56" t="n">
        <v>1</v>
      </c>
    </row>
    <row r="57">
      <c r="A57" t="inlineStr">
        <is>
          <t>param: ramp_mult</t>
        </is>
      </c>
      <c r="B57" t="n">
        <v>1</v>
      </c>
    </row>
    <row r="59">
      <c r="A59" t="inlineStr">
        <is>
          <t>Year</t>
        </is>
      </c>
      <c r="C59" t="n">
        <v>0</v>
      </c>
      <c r="D59" t="n">
        <v>1</v>
      </c>
      <c r="E59" t="n">
        <v>2</v>
      </c>
      <c r="F59" t="n">
        <v>3</v>
      </c>
      <c r="G59" t="n">
        <v>4</v>
      </c>
      <c r="H59" t="n">
        <v>5</v>
      </c>
      <c r="I59" t="n">
        <v>6</v>
      </c>
      <c r="J59" t="n">
        <v>7</v>
      </c>
      <c r="K59" t="n">
        <v>8</v>
      </c>
      <c r="L59" t="n">
        <v>9</v>
      </c>
      <c r="M59" t="n">
        <v>10</v>
      </c>
      <c r="N59" t="n">
        <v>11</v>
      </c>
      <c r="O59" t="n">
        <v>12</v>
      </c>
      <c r="P59" t="n">
        <v>13</v>
      </c>
      <c r="Q59" t="n">
        <v>14</v>
      </c>
      <c r="R59" t="n">
        <v>15</v>
      </c>
    </row>
    <row r="60">
      <c r="A60" t="inlineStr">
        <is>
          <t>Trading year flag</t>
        </is>
      </c>
      <c r="C60">
        <f>IF(AND(C59&gt;=1,C59&lt;=lease_term_years),1,0)</f>
        <v/>
      </c>
      <c r="D60">
        <f>IF(AND(D59&gt;=1,D59&lt;=lease_term_years),1,0)</f>
        <v/>
      </c>
      <c r="E60">
        <f>IF(AND(E59&gt;=1,E59&lt;=lease_term_years),1,0)</f>
        <v/>
      </c>
      <c r="F60">
        <f>IF(AND(F59&gt;=1,F59&lt;=lease_term_years),1,0)</f>
        <v/>
      </c>
      <c r="G60">
        <f>IF(AND(G59&gt;=1,G59&lt;=lease_term_years),1,0)</f>
        <v/>
      </c>
      <c r="H60">
        <f>IF(AND(H59&gt;=1,H59&lt;=lease_term_years),1,0)</f>
        <v/>
      </c>
      <c r="I60">
        <f>IF(AND(I59&gt;=1,I59&lt;=lease_term_years),1,0)</f>
        <v/>
      </c>
      <c r="J60">
        <f>IF(AND(J59&gt;=1,J59&lt;=lease_term_years),1,0)</f>
        <v/>
      </c>
      <c r="K60">
        <f>IF(AND(K59&gt;=1,K59&lt;=lease_term_years),1,0)</f>
        <v/>
      </c>
      <c r="L60">
        <f>IF(AND(L59&gt;=1,L59&lt;=lease_term_years),1,0)</f>
        <v/>
      </c>
      <c r="M60">
        <f>IF(AND(M59&gt;=1,M59&lt;=lease_term_years),1,0)</f>
        <v/>
      </c>
      <c r="N60">
        <f>IF(AND(N59&gt;=1,N59&lt;=lease_term_years),1,0)</f>
        <v/>
      </c>
      <c r="O60">
        <f>IF(AND(O59&gt;=1,O59&lt;=lease_term_years),1,0)</f>
        <v/>
      </c>
      <c r="P60">
        <f>IF(AND(P59&gt;=1,P59&lt;=lease_term_years),1,0)</f>
        <v/>
      </c>
      <c r="Q60">
        <f>IF(AND(Q59&gt;=1,Q59&lt;=lease_term_years),1,0)</f>
        <v/>
      </c>
      <c r="R60">
        <f>IF(AND(R59&gt;=1,R59&lt;=lease_term_years),1,0)</f>
        <v/>
      </c>
    </row>
    <row r="61">
      <c r="A61" t="inlineStr">
        <is>
          <t>Ramp-up (share of mature volume)</t>
        </is>
      </c>
      <c r="C61">
        <f>IF(C59=1,1-(1-$B$53)*$B$57,IF(C59=2,1-(1-$B$54)*$B$57,1))*C60</f>
        <v/>
      </c>
      <c r="D61">
        <f>IF(D59=1,1-(1-$B$53)*$B$57,IF(D59=2,1-(1-$B$54)*$B$57,1))*D60</f>
        <v/>
      </c>
      <c r="E61">
        <f>IF(E59=1,1-(1-$B$53)*$B$57,IF(E59=2,1-(1-$B$54)*$B$57,1))*E60</f>
        <v/>
      </c>
      <c r="F61">
        <f>IF(F59=1,1-(1-$B$53)*$B$57,IF(F59=2,1-(1-$B$54)*$B$57,1))*F60</f>
        <v/>
      </c>
      <c r="G61">
        <f>IF(G59=1,1-(1-$B$53)*$B$57,IF(G59=2,1-(1-$B$54)*$B$57,1))*G60</f>
        <v/>
      </c>
      <c r="H61">
        <f>IF(H59=1,1-(1-$B$53)*$B$57,IF(H59=2,1-(1-$B$54)*$B$57,1))*H60</f>
        <v/>
      </c>
      <c r="I61">
        <f>IF(I59=1,1-(1-$B$53)*$B$57,IF(I59=2,1-(1-$B$54)*$B$57,1))*I60</f>
        <v/>
      </c>
      <c r="J61">
        <f>IF(J59=1,1-(1-$B$53)*$B$57,IF(J59=2,1-(1-$B$54)*$B$57,1))*J60</f>
        <v/>
      </c>
      <c r="K61">
        <f>IF(K59=1,1-(1-$B$53)*$B$57,IF(K59=2,1-(1-$B$54)*$B$57,1))*K60</f>
        <v/>
      </c>
      <c r="L61">
        <f>IF(L59=1,1-(1-$B$53)*$B$57,IF(L59=2,1-(1-$B$54)*$B$57,1))*L60</f>
        <v/>
      </c>
      <c r="M61">
        <f>IF(M59=1,1-(1-$B$53)*$B$57,IF(M59=2,1-(1-$B$54)*$B$57,1))*M60</f>
        <v/>
      </c>
      <c r="N61">
        <f>IF(N59=1,1-(1-$B$53)*$B$57,IF(N59=2,1-(1-$B$54)*$B$57,1))*N60</f>
        <v/>
      </c>
      <c r="O61">
        <f>IF(O59=1,1-(1-$B$53)*$B$57,IF(O59=2,1-(1-$B$54)*$B$57,1))*O60</f>
        <v/>
      </c>
      <c r="P61">
        <f>IF(P59=1,1-(1-$B$53)*$B$57,IF(P59=2,1-(1-$B$54)*$B$57,1))*P60</f>
        <v/>
      </c>
      <c r="Q61">
        <f>IF(Q59=1,1-(1-$B$53)*$B$57,IF(Q59=2,1-(1-$B$54)*$B$57,1))*Q60</f>
        <v/>
      </c>
      <c r="R61">
        <f>IF(R59=1,1-(1-$B$53)*$B$57,IF(R59=2,1-(1-$B$54)*$B$57,1))*R60</f>
        <v/>
      </c>
    </row>
    <row r="62">
      <c r="A62" t="inlineStr">
        <is>
          <t>Sales volume (year-1 prices)</t>
        </is>
      </c>
      <c r="C62">
        <f>area_sqft*$B$49*C61</f>
        <v/>
      </c>
      <c r="D62">
        <f>area_sqft*$B$49*D61</f>
        <v/>
      </c>
      <c r="E62">
        <f>area_sqft*$B$49*E61</f>
        <v/>
      </c>
      <c r="F62">
        <f>area_sqft*$B$49*F61</f>
        <v/>
      </c>
      <c r="G62">
        <f>area_sqft*$B$49*G61</f>
        <v/>
      </c>
      <c r="H62">
        <f>area_sqft*$B$49*H61</f>
        <v/>
      </c>
      <c r="I62">
        <f>area_sqft*$B$49*I61</f>
        <v/>
      </c>
      <c r="J62">
        <f>area_sqft*$B$49*J61</f>
        <v/>
      </c>
      <c r="K62">
        <f>area_sqft*$B$49*K61</f>
        <v/>
      </c>
      <c r="L62">
        <f>area_sqft*$B$49*L61</f>
        <v/>
      </c>
      <c r="M62">
        <f>area_sqft*$B$49*M61</f>
        <v/>
      </c>
      <c r="N62">
        <f>area_sqft*$B$49*N61</f>
        <v/>
      </c>
      <c r="O62">
        <f>area_sqft*$B$49*O61</f>
        <v/>
      </c>
      <c r="P62">
        <f>area_sqft*$B$49*P61</f>
        <v/>
      </c>
      <c r="Q62">
        <f>area_sqft*$B$49*Q61</f>
        <v/>
      </c>
      <c r="R62">
        <f>area_sqft*$B$49*R61</f>
        <v/>
      </c>
    </row>
    <row r="63">
      <c r="A63" t="inlineStr">
        <is>
          <t>Sales growth index</t>
        </is>
      </c>
      <c r="C63">
        <f>IF(C60=1,(1+sales_growth)^(C59-1),0)</f>
        <v/>
      </c>
      <c r="D63">
        <f>IF(D60=1,(1+sales_growth)^(D59-1),0)</f>
        <v/>
      </c>
      <c r="E63">
        <f>IF(E60=1,(1+sales_growth)^(E59-1),0)</f>
        <v/>
      </c>
      <c r="F63">
        <f>IF(F60=1,(1+sales_growth)^(F59-1),0)</f>
        <v/>
      </c>
      <c r="G63">
        <f>IF(G60=1,(1+sales_growth)^(G59-1),0)</f>
        <v/>
      </c>
      <c r="H63">
        <f>IF(H60=1,(1+sales_growth)^(H59-1),0)</f>
        <v/>
      </c>
      <c r="I63">
        <f>IF(I60=1,(1+sales_growth)^(I59-1),0)</f>
        <v/>
      </c>
      <c r="J63">
        <f>IF(J60=1,(1+sales_growth)^(J59-1),0)</f>
        <v/>
      </c>
      <c r="K63">
        <f>IF(K60=1,(1+sales_growth)^(K59-1),0)</f>
        <v/>
      </c>
      <c r="L63">
        <f>IF(L60=1,(1+sales_growth)^(L59-1),0)</f>
        <v/>
      </c>
      <c r="M63">
        <f>IF(M60=1,(1+sales_growth)^(M59-1),0)</f>
        <v/>
      </c>
      <c r="N63">
        <f>IF(N60=1,(1+sales_growth)^(N59-1),0)</f>
        <v/>
      </c>
      <c r="O63">
        <f>IF(O60=1,(1+sales_growth)^(O59-1),0)</f>
        <v/>
      </c>
      <c r="P63">
        <f>IF(P60=1,(1+sales_growth)^(P59-1),0)</f>
        <v/>
      </c>
      <c r="Q63">
        <f>IF(Q60=1,(1+sales_growth)^(Q59-1),0)</f>
        <v/>
      </c>
      <c r="R63">
        <f>IF(R60=1,(1+sales_growth)^(R59-1),0)</f>
        <v/>
      </c>
    </row>
    <row r="64">
      <c r="A64" t="inlineStr">
        <is>
          <t>Sales</t>
        </is>
      </c>
      <c r="C64">
        <f>C62*C63</f>
        <v/>
      </c>
      <c r="D64">
        <f>D62*D63</f>
        <v/>
      </c>
      <c r="E64">
        <f>E62*E63</f>
        <v/>
      </c>
      <c r="F64">
        <f>F62*F63</f>
        <v/>
      </c>
      <c r="G64">
        <f>G62*G63</f>
        <v/>
      </c>
      <c r="H64">
        <f>H62*H63</f>
        <v/>
      </c>
      <c r="I64">
        <f>I62*I63</f>
        <v/>
      </c>
      <c r="J64">
        <f>J62*J63</f>
        <v/>
      </c>
      <c r="K64">
        <f>K62*K63</f>
        <v/>
      </c>
      <c r="L64">
        <f>L62*L63</f>
        <v/>
      </c>
      <c r="M64">
        <f>M62*M63</f>
        <v/>
      </c>
      <c r="N64">
        <f>N62*N63</f>
        <v/>
      </c>
      <c r="O64">
        <f>O62*O63</f>
        <v/>
      </c>
      <c r="P64">
        <f>P62*P63</f>
        <v/>
      </c>
      <c r="Q64">
        <f>Q62*Q63</f>
        <v/>
      </c>
      <c r="R64">
        <f>R62*R63</f>
        <v/>
      </c>
    </row>
    <row r="65">
      <c r="A65" t="inlineStr">
        <is>
          <t>Gross margin</t>
        </is>
      </c>
      <c r="C65">
        <f>C64*$B$50</f>
        <v/>
      </c>
      <c r="D65">
        <f>D64*$B$50</f>
        <v/>
      </c>
      <c r="E65">
        <f>E64*$B$50</f>
        <v/>
      </c>
      <c r="F65">
        <f>F64*$B$50</f>
        <v/>
      </c>
      <c r="G65">
        <f>G64*$B$50</f>
        <v/>
      </c>
      <c r="H65">
        <f>H64*$B$50</f>
        <v/>
      </c>
      <c r="I65">
        <f>I64*$B$50</f>
        <v/>
      </c>
      <c r="J65">
        <f>J64*$B$50</f>
        <v/>
      </c>
      <c r="K65">
        <f>K64*$B$50</f>
        <v/>
      </c>
      <c r="L65">
        <f>L64*$B$50</f>
        <v/>
      </c>
      <c r="M65">
        <f>M64*$B$50</f>
        <v/>
      </c>
      <c r="N65">
        <f>N64*$B$50</f>
        <v/>
      </c>
      <c r="O65">
        <f>O64*$B$50</f>
        <v/>
      </c>
      <c r="P65">
        <f>P64*$B$50</f>
        <v/>
      </c>
      <c r="Q65">
        <f>Q64*$B$50</f>
        <v/>
      </c>
      <c r="R65">
        <f>R64*$B$50</f>
        <v/>
      </c>
    </row>
    <row r="66">
      <c r="A66" t="inlineStr">
        <is>
          <t>Wage index</t>
        </is>
      </c>
      <c r="C66">
        <f>IF(C60=1,(1+wage_inflation)^(C59-1),0)</f>
        <v/>
      </c>
      <c r="D66">
        <f>IF(D60=1,(1+wage_inflation)^(D59-1),0)</f>
        <v/>
      </c>
      <c r="E66">
        <f>IF(E60=1,(1+wage_inflation)^(E59-1),0)</f>
        <v/>
      </c>
      <c r="F66">
        <f>IF(F60=1,(1+wage_inflation)^(F59-1),0)</f>
        <v/>
      </c>
      <c r="G66">
        <f>IF(G60=1,(1+wage_inflation)^(G59-1),0)</f>
        <v/>
      </c>
      <c r="H66">
        <f>IF(H60=1,(1+wage_inflation)^(H59-1),0)</f>
        <v/>
      </c>
      <c r="I66">
        <f>IF(I60=1,(1+wage_inflation)^(I59-1),0)</f>
        <v/>
      </c>
      <c r="J66">
        <f>IF(J60=1,(1+wage_inflation)^(J59-1),0)</f>
        <v/>
      </c>
      <c r="K66">
        <f>IF(K60=1,(1+wage_inflation)^(K59-1),0)</f>
        <v/>
      </c>
      <c r="L66">
        <f>IF(L60=1,(1+wage_inflation)^(L59-1),0)</f>
        <v/>
      </c>
      <c r="M66">
        <f>IF(M60=1,(1+wage_inflation)^(M59-1),0)</f>
        <v/>
      </c>
      <c r="N66">
        <f>IF(N60=1,(1+wage_inflation)^(N59-1),0)</f>
        <v/>
      </c>
      <c r="O66">
        <f>IF(O60=1,(1+wage_inflation)^(O59-1),0)</f>
        <v/>
      </c>
      <c r="P66">
        <f>IF(P60=1,(1+wage_inflation)^(P59-1),0)</f>
        <v/>
      </c>
      <c r="Q66">
        <f>IF(Q60=1,(1+wage_inflation)^(Q59-1),0)</f>
        <v/>
      </c>
      <c r="R66">
        <f>IF(R60=1,(1+wage_inflation)^(R59-1),0)</f>
        <v/>
      </c>
    </row>
    <row r="67">
      <c r="A67" t="inlineStr">
        <is>
          <t>Payroll</t>
        </is>
      </c>
      <c r="C67">
        <f>(fixed_payroll*C60+variable_cost_per_k*C62/1000)*C66*$B$56</f>
        <v/>
      </c>
      <c r="D67">
        <f>(fixed_payroll*D60+variable_cost_per_k*D62/1000)*D66*$B$56</f>
        <v/>
      </c>
      <c r="E67">
        <f>(fixed_payroll*E60+variable_cost_per_k*E62/1000)*E66*$B$56</f>
        <v/>
      </c>
      <c r="F67">
        <f>(fixed_payroll*F60+variable_cost_per_k*F62/1000)*F66*$B$56</f>
        <v/>
      </c>
      <c r="G67">
        <f>(fixed_payroll*G60+variable_cost_per_k*G62/1000)*G66*$B$56</f>
        <v/>
      </c>
      <c r="H67">
        <f>(fixed_payroll*H60+variable_cost_per_k*H62/1000)*H66*$B$56</f>
        <v/>
      </c>
      <c r="I67">
        <f>(fixed_payroll*I60+variable_cost_per_k*I62/1000)*I66*$B$56</f>
        <v/>
      </c>
      <c r="J67">
        <f>(fixed_payroll*J60+variable_cost_per_k*J62/1000)*J66*$B$56</f>
        <v/>
      </c>
      <c r="K67">
        <f>(fixed_payroll*K60+variable_cost_per_k*K62/1000)*K66*$B$56</f>
        <v/>
      </c>
      <c r="L67">
        <f>(fixed_payroll*L60+variable_cost_per_k*L62/1000)*L66*$B$56</f>
        <v/>
      </c>
      <c r="M67">
        <f>(fixed_payroll*M60+variable_cost_per_k*M62/1000)*M66*$B$56</f>
        <v/>
      </c>
      <c r="N67">
        <f>(fixed_payroll*N60+variable_cost_per_k*N62/1000)*N66*$B$56</f>
        <v/>
      </c>
      <c r="O67">
        <f>(fixed_payroll*O60+variable_cost_per_k*O62/1000)*O66*$B$56</f>
        <v/>
      </c>
      <c r="P67">
        <f>(fixed_payroll*P60+variable_cost_per_k*P62/1000)*P66*$B$56</f>
        <v/>
      </c>
      <c r="Q67">
        <f>(fixed_payroll*Q60+variable_cost_per_k*Q62/1000)*Q66*$B$56</f>
        <v/>
      </c>
      <c r="R67">
        <f>(fixed_payroll*R60+variable_cost_per_k*R62/1000)*R66*$B$56</f>
        <v/>
      </c>
    </row>
    <row r="68">
      <c r="A68" t="inlineStr">
        <is>
          <t>Rent</t>
        </is>
      </c>
      <c r="C68">
        <f>$B$51*(1+IF(C59&gt;=6,rent_review_uplift,0))*C60*$B$55</f>
        <v/>
      </c>
      <c r="D68">
        <f>$B$51*(1+IF(D59&gt;=6,rent_review_uplift,0))*D60*$B$55</f>
        <v/>
      </c>
      <c r="E68">
        <f>$B$51*(1+IF(E59&gt;=6,rent_review_uplift,0))*E60*$B$55</f>
        <v/>
      </c>
      <c r="F68">
        <f>$B$51*(1+IF(F59&gt;=6,rent_review_uplift,0))*F60*$B$55</f>
        <v/>
      </c>
      <c r="G68">
        <f>$B$51*(1+IF(G59&gt;=6,rent_review_uplift,0))*G60*$B$55</f>
        <v/>
      </c>
      <c r="H68">
        <f>$B$51*(1+IF(H59&gt;=6,rent_review_uplift,0))*H60*$B$55</f>
        <v/>
      </c>
      <c r="I68">
        <f>$B$51*(1+IF(I59&gt;=6,rent_review_uplift,0))*I60*$B$55</f>
        <v/>
      </c>
      <c r="J68">
        <f>$B$51*(1+IF(J59&gt;=6,rent_review_uplift,0))*J60*$B$55</f>
        <v/>
      </c>
      <c r="K68">
        <f>$B$51*(1+IF(K59&gt;=6,rent_review_uplift,0))*K60*$B$55</f>
        <v/>
      </c>
      <c r="L68">
        <f>$B$51*(1+IF(L59&gt;=6,rent_review_uplift,0))*L60*$B$55</f>
        <v/>
      </c>
      <c r="M68">
        <f>$B$51*(1+IF(M59&gt;=6,rent_review_uplift,0))*M60*$B$55</f>
        <v/>
      </c>
      <c r="N68">
        <f>$B$51*(1+IF(N59&gt;=6,rent_review_uplift,0))*N60*$B$55</f>
        <v/>
      </c>
      <c r="O68">
        <f>$B$51*(1+IF(O59&gt;=6,rent_review_uplift,0))*O60*$B$55</f>
        <v/>
      </c>
      <c r="P68">
        <f>$B$51*(1+IF(P59&gt;=6,rent_review_uplift,0))*P60*$B$55</f>
        <v/>
      </c>
      <c r="Q68">
        <f>$B$51*(1+IF(Q59&gt;=6,rent_review_uplift,0))*Q60*$B$55</f>
        <v/>
      </c>
      <c r="R68">
        <f>$B$51*(1+IF(R59&gt;=6,rent_review_uplift,0))*R60*$B$55</f>
        <v/>
      </c>
    </row>
    <row r="69">
      <c r="A69" t="inlineStr">
        <is>
          <t>Cost index</t>
        </is>
      </c>
      <c r="C69">
        <f>IF(C60=1,(1+cost_inflation)^(C59-1),0)</f>
        <v/>
      </c>
      <c r="D69">
        <f>IF(D60=1,(1+cost_inflation)^(D59-1),0)</f>
        <v/>
      </c>
      <c r="E69">
        <f>IF(E60=1,(1+cost_inflation)^(E59-1),0)</f>
        <v/>
      </c>
      <c r="F69">
        <f>IF(F60=1,(1+cost_inflation)^(F59-1),0)</f>
        <v/>
      </c>
      <c r="G69">
        <f>IF(G60=1,(1+cost_inflation)^(G59-1),0)</f>
        <v/>
      </c>
      <c r="H69">
        <f>IF(H60=1,(1+cost_inflation)^(H59-1),0)</f>
        <v/>
      </c>
      <c r="I69">
        <f>IF(I60=1,(1+cost_inflation)^(I59-1),0)</f>
        <v/>
      </c>
      <c r="J69">
        <f>IF(J60=1,(1+cost_inflation)^(J59-1),0)</f>
        <v/>
      </c>
      <c r="K69">
        <f>IF(K60=1,(1+cost_inflation)^(K59-1),0)</f>
        <v/>
      </c>
      <c r="L69">
        <f>IF(L60=1,(1+cost_inflation)^(L59-1),0)</f>
        <v/>
      </c>
      <c r="M69">
        <f>IF(M60=1,(1+cost_inflation)^(M59-1),0)</f>
        <v/>
      </c>
      <c r="N69">
        <f>IF(N60=1,(1+cost_inflation)^(N59-1),0)</f>
        <v/>
      </c>
      <c r="O69">
        <f>IF(O60=1,(1+cost_inflation)^(O59-1),0)</f>
        <v/>
      </c>
      <c r="P69">
        <f>IF(P60=1,(1+cost_inflation)^(P59-1),0)</f>
        <v/>
      </c>
      <c r="Q69">
        <f>IF(Q60=1,(1+cost_inflation)^(Q59-1),0)</f>
        <v/>
      </c>
      <c r="R69">
        <f>IF(R60=1,(1+cost_inflation)^(R59-1),0)</f>
        <v/>
      </c>
    </row>
    <row r="70">
      <c r="A70" t="inlineStr">
        <is>
          <t>Business rates</t>
        </is>
      </c>
      <c r="C70">
        <f>rateable_value*IF(rateable_value&lt;51000,rates_multiplier_rhl_small,IF(rateable_value&lt;500000,rates_multiplier_rhl_standard,rates_multiplier_high_value))*C69</f>
        <v/>
      </c>
      <c r="D70">
        <f>rateable_value*IF(rateable_value&lt;51000,rates_multiplier_rhl_small,IF(rateable_value&lt;500000,rates_multiplier_rhl_standard,rates_multiplier_high_value))*D69</f>
        <v/>
      </c>
      <c r="E70">
        <f>rateable_value*IF(rateable_value&lt;51000,rates_multiplier_rhl_small,IF(rateable_value&lt;500000,rates_multiplier_rhl_standard,rates_multiplier_high_value))*E69</f>
        <v/>
      </c>
      <c r="F70">
        <f>rateable_value*IF(rateable_value&lt;51000,rates_multiplier_rhl_small,IF(rateable_value&lt;500000,rates_multiplier_rhl_standard,rates_multiplier_high_value))*F69</f>
        <v/>
      </c>
      <c r="G70">
        <f>rateable_value*IF(rateable_value&lt;51000,rates_multiplier_rhl_small,IF(rateable_value&lt;500000,rates_multiplier_rhl_standard,rates_multiplier_high_value))*G69</f>
        <v/>
      </c>
      <c r="H70">
        <f>rateable_value*IF(rateable_value&lt;51000,rates_multiplier_rhl_small,IF(rateable_value&lt;500000,rates_multiplier_rhl_standard,rates_multiplier_high_value))*H69</f>
        <v/>
      </c>
      <c r="I70">
        <f>rateable_value*IF(rateable_value&lt;51000,rates_multiplier_rhl_small,IF(rateable_value&lt;500000,rates_multiplier_rhl_standard,rates_multiplier_high_value))*I69</f>
        <v/>
      </c>
      <c r="J70">
        <f>rateable_value*IF(rateable_value&lt;51000,rates_multiplier_rhl_small,IF(rateable_value&lt;500000,rates_multiplier_rhl_standard,rates_multiplier_high_value))*J69</f>
        <v/>
      </c>
      <c r="K70">
        <f>rateable_value*IF(rateable_value&lt;51000,rates_multiplier_rhl_small,IF(rateable_value&lt;500000,rates_multiplier_rhl_standard,rates_multiplier_high_value))*K69</f>
        <v/>
      </c>
      <c r="L70">
        <f>rateable_value*IF(rateable_value&lt;51000,rates_multiplier_rhl_small,IF(rateable_value&lt;500000,rates_multiplier_rhl_standard,rates_multiplier_high_value))*L69</f>
        <v/>
      </c>
      <c r="M70">
        <f>rateable_value*IF(rateable_value&lt;51000,rates_multiplier_rhl_small,IF(rateable_value&lt;500000,rates_multiplier_rhl_standard,rates_multiplier_high_value))*M69</f>
        <v/>
      </c>
      <c r="N70">
        <f>rateable_value*IF(rateable_value&lt;51000,rates_multiplier_rhl_small,IF(rateable_value&lt;500000,rates_multiplier_rhl_standard,rates_multiplier_high_value))*N69</f>
        <v/>
      </c>
      <c r="O70">
        <f>rateable_value*IF(rateable_value&lt;51000,rates_multiplier_rhl_small,IF(rateable_value&lt;500000,rates_multiplier_rhl_standard,rates_multiplier_high_value))*O69</f>
        <v/>
      </c>
      <c r="P70">
        <f>rateable_value*IF(rateable_value&lt;51000,rates_multiplier_rhl_small,IF(rateable_value&lt;500000,rates_multiplier_rhl_standard,rates_multiplier_high_value))*P69</f>
        <v/>
      </c>
      <c r="Q70">
        <f>rateable_value*IF(rateable_value&lt;51000,rates_multiplier_rhl_small,IF(rateable_value&lt;500000,rates_multiplier_rhl_standard,rates_multiplier_high_value))*Q69</f>
        <v/>
      </c>
      <c r="R70">
        <f>rateable_value*IF(rateable_value&lt;51000,rates_multiplier_rhl_small,IF(rateable_value&lt;500000,rates_multiplier_rhl_standard,rates_multiplier_high_value))*R69</f>
        <v/>
      </c>
    </row>
    <row r="71">
      <c r="A71" t="inlineStr">
        <is>
          <t>Service charge, utilities, insurance</t>
        </is>
      </c>
      <c r="C71">
        <f>occupancy_other_psf*area_sqft*C69</f>
        <v/>
      </c>
      <c r="D71">
        <f>occupancy_other_psf*area_sqft*D69</f>
        <v/>
      </c>
      <c r="E71">
        <f>occupancy_other_psf*area_sqft*E69</f>
        <v/>
      </c>
      <c r="F71">
        <f>occupancy_other_psf*area_sqft*F69</f>
        <v/>
      </c>
      <c r="G71">
        <f>occupancy_other_psf*area_sqft*G69</f>
        <v/>
      </c>
      <c r="H71">
        <f>occupancy_other_psf*area_sqft*H69</f>
        <v/>
      </c>
      <c r="I71">
        <f>occupancy_other_psf*area_sqft*I69</f>
        <v/>
      </c>
      <c r="J71">
        <f>occupancy_other_psf*area_sqft*J69</f>
        <v/>
      </c>
      <c r="K71">
        <f>occupancy_other_psf*area_sqft*K69</f>
        <v/>
      </c>
      <c r="L71">
        <f>occupancy_other_psf*area_sqft*L69</f>
        <v/>
      </c>
      <c r="M71">
        <f>occupancy_other_psf*area_sqft*M69</f>
        <v/>
      </c>
      <c r="N71">
        <f>occupancy_other_psf*area_sqft*N69</f>
        <v/>
      </c>
      <c r="O71">
        <f>occupancy_other_psf*area_sqft*O69</f>
        <v/>
      </c>
      <c r="P71">
        <f>occupancy_other_psf*area_sqft*P69</f>
        <v/>
      </c>
      <c r="Q71">
        <f>occupancy_other_psf*area_sqft*Q69</f>
        <v/>
      </c>
      <c r="R71">
        <f>occupancy_other_psf*area_sqft*R69</f>
        <v/>
      </c>
    </row>
    <row r="72">
      <c r="A72" t="inlineStr">
        <is>
          <t>Other store opex</t>
        </is>
      </c>
      <c r="C72">
        <f>C64*other_opex_pct_sales</f>
        <v/>
      </c>
      <c r="D72">
        <f>D64*other_opex_pct_sales</f>
        <v/>
      </c>
      <c r="E72">
        <f>E64*other_opex_pct_sales</f>
        <v/>
      </c>
      <c r="F72">
        <f>F64*other_opex_pct_sales</f>
        <v/>
      </c>
      <c r="G72">
        <f>G64*other_opex_pct_sales</f>
        <v/>
      </c>
      <c r="H72">
        <f>H64*other_opex_pct_sales</f>
        <v/>
      </c>
      <c r="I72">
        <f>I64*other_opex_pct_sales</f>
        <v/>
      </c>
      <c r="J72">
        <f>J64*other_opex_pct_sales</f>
        <v/>
      </c>
      <c r="K72">
        <f>K64*other_opex_pct_sales</f>
        <v/>
      </c>
      <c r="L72">
        <f>L64*other_opex_pct_sales</f>
        <v/>
      </c>
      <c r="M72">
        <f>M64*other_opex_pct_sales</f>
        <v/>
      </c>
      <c r="N72">
        <f>N64*other_opex_pct_sales</f>
        <v/>
      </c>
      <c r="O72">
        <f>O64*other_opex_pct_sales</f>
        <v/>
      </c>
      <c r="P72">
        <f>P64*other_opex_pct_sales</f>
        <v/>
      </c>
      <c r="Q72">
        <f>Q64*other_opex_pct_sales</f>
        <v/>
      </c>
      <c r="R72">
        <f>R64*other_opex_pct_sales</f>
        <v/>
      </c>
    </row>
    <row r="73">
      <c r="A73" t="inlineStr">
        <is>
          <t>Store EBITDA (4-wall)</t>
        </is>
      </c>
      <c r="C73">
        <f>C65-C67-C68-C70-C71-C72</f>
        <v/>
      </c>
      <c r="D73">
        <f>D65-D67-D68-D70-D71-D72</f>
        <v/>
      </c>
      <c r="E73">
        <f>E65-E67-E68-E70-E71-E72</f>
        <v/>
      </c>
      <c r="F73">
        <f>F65-F67-F68-F70-F71-F72</f>
        <v/>
      </c>
      <c r="G73">
        <f>G65-G67-G68-G70-G71-G72</f>
        <v/>
      </c>
      <c r="H73">
        <f>H65-H67-H68-H70-H71-H72</f>
        <v/>
      </c>
      <c r="I73">
        <f>I65-I67-I68-I70-I71-I72</f>
        <v/>
      </c>
      <c r="J73">
        <f>J65-J67-J68-J70-J71-J72</f>
        <v/>
      </c>
      <c r="K73">
        <f>K65-K67-K68-K70-K71-K72</f>
        <v/>
      </c>
      <c r="L73">
        <f>L65-L67-L68-L70-L71-L72</f>
        <v/>
      </c>
      <c r="M73">
        <f>M65-M67-M68-M70-M71-M72</f>
        <v/>
      </c>
      <c r="N73">
        <f>N65-N67-N68-N70-N71-N72</f>
        <v/>
      </c>
      <c r="O73">
        <f>O65-O67-O68-O70-O71-O72</f>
        <v/>
      </c>
      <c r="P73">
        <f>P65-P67-P68-P70-P71-P72</f>
        <v/>
      </c>
      <c r="Q73">
        <f>Q65-Q67-Q68-Q70-Q71-Q72</f>
        <v/>
      </c>
      <c r="R73">
        <f>R65-R67-R68-R70-R71-R72</f>
        <v/>
      </c>
    </row>
    <row r="74">
      <c r="A74" t="inlineStr">
        <is>
          <t>Pre-opening costs</t>
        </is>
      </c>
      <c r="C74">
        <f>IF(C59=0,pre_opening_costs,0)</f>
        <v/>
      </c>
      <c r="D74">
        <f>IF(D59=0,pre_opening_costs,0)</f>
        <v/>
      </c>
      <c r="E74">
        <f>IF(E59=0,pre_opening_costs,0)</f>
        <v/>
      </c>
      <c r="F74">
        <f>IF(F59=0,pre_opening_costs,0)</f>
        <v/>
      </c>
      <c r="G74">
        <f>IF(G59=0,pre_opening_costs,0)</f>
        <v/>
      </c>
      <c r="H74">
        <f>IF(H59=0,pre_opening_costs,0)</f>
        <v/>
      </c>
      <c r="I74">
        <f>IF(I59=0,pre_opening_costs,0)</f>
        <v/>
      </c>
      <c r="J74">
        <f>IF(J59=0,pre_opening_costs,0)</f>
        <v/>
      </c>
      <c r="K74">
        <f>IF(K59=0,pre_opening_costs,0)</f>
        <v/>
      </c>
      <c r="L74">
        <f>IF(L59=0,pre_opening_costs,0)</f>
        <v/>
      </c>
      <c r="M74">
        <f>IF(M59=0,pre_opening_costs,0)</f>
        <v/>
      </c>
      <c r="N74">
        <f>IF(N59=0,pre_opening_costs,0)</f>
        <v/>
      </c>
      <c r="O74">
        <f>IF(O59=0,pre_opening_costs,0)</f>
        <v/>
      </c>
      <c r="P74">
        <f>IF(P59=0,pre_opening_costs,0)</f>
        <v/>
      </c>
      <c r="Q74">
        <f>IF(Q59=0,pre_opening_costs,0)</f>
        <v/>
      </c>
      <c r="R74">
        <f>IF(R59=0,pre_opening_costs,0)</f>
        <v/>
      </c>
    </row>
    <row r="75">
      <c r="A75" t="inlineStr">
        <is>
          <t>Fit-out capex</t>
        </is>
      </c>
      <c r="C75">
        <f>IF(C59=0,$B$52,0)</f>
        <v/>
      </c>
      <c r="D75">
        <f>IF(D59=0,$B$52,0)</f>
        <v/>
      </c>
      <c r="E75">
        <f>IF(E59=0,$B$52,0)</f>
        <v/>
      </c>
      <c r="F75">
        <f>IF(F59=0,$B$52,0)</f>
        <v/>
      </c>
      <c r="G75">
        <f>IF(G59=0,$B$52,0)</f>
        <v/>
      </c>
      <c r="H75">
        <f>IF(H59=0,$B$52,0)</f>
        <v/>
      </c>
      <c r="I75">
        <f>IF(I59=0,$B$52,0)</f>
        <v/>
      </c>
      <c r="J75">
        <f>IF(J59=0,$B$52,0)</f>
        <v/>
      </c>
      <c r="K75">
        <f>IF(K59=0,$B$52,0)</f>
        <v/>
      </c>
      <c r="L75">
        <f>IF(L59=0,$B$52,0)</f>
        <v/>
      </c>
      <c r="M75">
        <f>IF(M59=0,$B$52,0)</f>
        <v/>
      </c>
      <c r="N75">
        <f>IF(N59=0,$B$52,0)</f>
        <v/>
      </c>
      <c r="O75">
        <f>IF(O59=0,$B$52,0)</f>
        <v/>
      </c>
      <c r="P75">
        <f>IF(P59=0,$B$52,0)</f>
        <v/>
      </c>
      <c r="Q75">
        <f>IF(Q59=0,$B$52,0)</f>
        <v/>
      </c>
      <c r="R75">
        <f>IF(R59=0,$B$52,0)</f>
        <v/>
      </c>
    </row>
    <row r="76">
      <c r="A76" t="inlineStr">
        <is>
          <t>Tax depreciation</t>
        </is>
      </c>
      <c r="C76">
        <f>IF(AND(C59&gt;=1,C59&lt;=tax_depreciation_years,C59&lt;=lease_term_years),$B$52/tax_depreciation_years,0)</f>
        <v/>
      </c>
      <c r="D76">
        <f>IF(AND(D59&gt;=1,D59&lt;=tax_depreciation_years,D59&lt;=lease_term_years),$B$52/tax_depreciation_years,0)</f>
        <v/>
      </c>
      <c r="E76">
        <f>IF(AND(E59&gt;=1,E59&lt;=tax_depreciation_years,E59&lt;=lease_term_years),$B$52/tax_depreciation_years,0)</f>
        <v/>
      </c>
      <c r="F76">
        <f>IF(AND(F59&gt;=1,F59&lt;=tax_depreciation_years,F59&lt;=lease_term_years),$B$52/tax_depreciation_years,0)</f>
        <v/>
      </c>
      <c r="G76">
        <f>IF(AND(G59&gt;=1,G59&lt;=tax_depreciation_years,G59&lt;=lease_term_years),$B$52/tax_depreciation_years,0)</f>
        <v/>
      </c>
      <c r="H76">
        <f>IF(AND(H59&gt;=1,H59&lt;=tax_depreciation_years,H59&lt;=lease_term_years),$B$52/tax_depreciation_years,0)</f>
        <v/>
      </c>
      <c r="I76">
        <f>IF(AND(I59&gt;=1,I59&lt;=tax_depreciation_years,I59&lt;=lease_term_years),$B$52/tax_depreciation_years,0)</f>
        <v/>
      </c>
      <c r="J76">
        <f>IF(AND(J59&gt;=1,J59&lt;=tax_depreciation_years,J59&lt;=lease_term_years),$B$52/tax_depreciation_years,0)</f>
        <v/>
      </c>
      <c r="K76">
        <f>IF(AND(K59&gt;=1,K59&lt;=tax_depreciation_years,K59&lt;=lease_term_years),$B$52/tax_depreciation_years,0)</f>
        <v/>
      </c>
      <c r="L76">
        <f>IF(AND(L59&gt;=1,L59&lt;=tax_depreciation_years,L59&lt;=lease_term_years),$B$52/tax_depreciation_years,0)</f>
        <v/>
      </c>
      <c r="M76">
        <f>IF(AND(M59&gt;=1,M59&lt;=tax_depreciation_years,M59&lt;=lease_term_years),$B$52/tax_depreciation_years,0)</f>
        <v/>
      </c>
      <c r="N76">
        <f>IF(AND(N59&gt;=1,N59&lt;=tax_depreciation_years,N59&lt;=lease_term_years),$B$52/tax_depreciation_years,0)</f>
        <v/>
      </c>
      <c r="O76">
        <f>IF(AND(O59&gt;=1,O59&lt;=tax_depreciation_years,O59&lt;=lease_term_years),$B$52/tax_depreciation_years,0)</f>
        <v/>
      </c>
      <c r="P76">
        <f>IF(AND(P59&gt;=1,P59&lt;=tax_depreciation_years,P59&lt;=lease_term_years),$B$52/tax_depreciation_years,0)</f>
        <v/>
      </c>
      <c r="Q76">
        <f>IF(AND(Q59&gt;=1,Q59&lt;=tax_depreciation_years,Q59&lt;=lease_term_years),$B$52/tax_depreciation_years,0)</f>
        <v/>
      </c>
      <c r="R76">
        <f>IF(AND(R59&gt;=1,R59&lt;=tax_depreciation_years,R59&lt;=lease_term_years),$B$52/tax_depreciation_years,0)</f>
        <v/>
      </c>
    </row>
    <row r="77">
      <c r="A77" t="inlineStr">
        <is>
          <t>Dilapidations</t>
        </is>
      </c>
      <c r="C77">
        <f>IF(C59=lease_term_years,dilapidations_at_exit,0)</f>
        <v/>
      </c>
      <c r="D77">
        <f>IF(D59=lease_term_years,dilapidations_at_exit,0)</f>
        <v/>
      </c>
      <c r="E77">
        <f>IF(E59=lease_term_years,dilapidations_at_exit,0)</f>
        <v/>
      </c>
      <c r="F77">
        <f>IF(F59=lease_term_years,dilapidations_at_exit,0)</f>
        <v/>
      </c>
      <c r="G77">
        <f>IF(G59=lease_term_years,dilapidations_at_exit,0)</f>
        <v/>
      </c>
      <c r="H77">
        <f>IF(H59=lease_term_years,dilapidations_at_exit,0)</f>
        <v/>
      </c>
      <c r="I77">
        <f>IF(I59=lease_term_years,dilapidations_at_exit,0)</f>
        <v/>
      </c>
      <c r="J77">
        <f>IF(J59=lease_term_years,dilapidations_at_exit,0)</f>
        <v/>
      </c>
      <c r="K77">
        <f>IF(K59=lease_term_years,dilapidations_at_exit,0)</f>
        <v/>
      </c>
      <c r="L77">
        <f>IF(L59=lease_term_years,dilapidations_at_exit,0)</f>
        <v/>
      </c>
      <c r="M77">
        <f>IF(M59=lease_term_years,dilapidations_at_exit,0)</f>
        <v/>
      </c>
      <c r="N77">
        <f>IF(N59=lease_term_years,dilapidations_at_exit,0)</f>
        <v/>
      </c>
      <c r="O77">
        <f>IF(O59=lease_term_years,dilapidations_at_exit,0)</f>
        <v/>
      </c>
      <c r="P77">
        <f>IF(P59=lease_term_years,dilapidations_at_exit,0)</f>
        <v/>
      </c>
      <c r="Q77">
        <f>IF(Q59=lease_term_years,dilapidations_at_exit,0)</f>
        <v/>
      </c>
      <c r="R77">
        <f>IF(R59=lease_term_years,dilapidations_at_exit,0)</f>
        <v/>
      </c>
    </row>
    <row r="78">
      <c r="A78" t="inlineStr">
        <is>
          <t>Taxable profit</t>
        </is>
      </c>
      <c r="C78">
        <f>C73-C74-C76-C77</f>
        <v/>
      </c>
      <c r="D78">
        <f>D73-D74-D76-D77</f>
        <v/>
      </c>
      <c r="E78">
        <f>E73-E74-E76-E77</f>
        <v/>
      </c>
      <c r="F78">
        <f>F73-F74-F76-F77</f>
        <v/>
      </c>
      <c r="G78">
        <f>G73-G74-G76-G77</f>
        <v/>
      </c>
      <c r="H78">
        <f>H73-H74-H76-H77</f>
        <v/>
      </c>
      <c r="I78">
        <f>I73-I74-I76-I77</f>
        <v/>
      </c>
      <c r="J78">
        <f>J73-J74-J76-J77</f>
        <v/>
      </c>
      <c r="K78">
        <f>K73-K74-K76-K77</f>
        <v/>
      </c>
      <c r="L78">
        <f>L73-L74-L76-L77</f>
        <v/>
      </c>
      <c r="M78">
        <f>M73-M74-M76-M77</f>
        <v/>
      </c>
      <c r="N78">
        <f>N73-N74-N76-N77</f>
        <v/>
      </c>
      <c r="O78">
        <f>O73-O74-O76-O77</f>
        <v/>
      </c>
      <c r="P78">
        <f>P73-P74-P76-P77</f>
        <v/>
      </c>
      <c r="Q78">
        <f>Q73-Q74-Q76-Q77</f>
        <v/>
      </c>
      <c r="R78">
        <f>R73-R74-R76-R77</f>
        <v/>
      </c>
    </row>
    <row r="79">
      <c r="A79" t="inlineStr">
        <is>
          <t>Tax (negative = group relief)</t>
        </is>
      </c>
      <c r="C79">
        <f>C78*tax_rate</f>
        <v/>
      </c>
      <c r="D79">
        <f>D78*tax_rate</f>
        <v/>
      </c>
      <c r="E79">
        <f>E78*tax_rate</f>
        <v/>
      </c>
      <c r="F79">
        <f>F78*tax_rate</f>
        <v/>
      </c>
      <c r="G79">
        <f>G78*tax_rate</f>
        <v/>
      </c>
      <c r="H79">
        <f>H78*tax_rate</f>
        <v/>
      </c>
      <c r="I79">
        <f>I78*tax_rate</f>
        <v/>
      </c>
      <c r="J79">
        <f>J78*tax_rate</f>
        <v/>
      </c>
      <c r="K79">
        <f>K78*tax_rate</f>
        <v/>
      </c>
      <c r="L79">
        <f>L78*tax_rate</f>
        <v/>
      </c>
      <c r="M79">
        <f>M78*tax_rate</f>
        <v/>
      </c>
      <c r="N79">
        <f>N78*tax_rate</f>
        <v/>
      </c>
      <c r="O79">
        <f>O78*tax_rate</f>
        <v/>
      </c>
      <c r="P79">
        <f>P78*tax_rate</f>
        <v/>
      </c>
      <c r="Q79">
        <f>Q78*tax_rate</f>
        <v/>
      </c>
      <c r="R79">
        <f>R78*tax_rate</f>
        <v/>
      </c>
    </row>
    <row r="80">
      <c r="A80" t="inlineStr">
        <is>
          <t>Stock held</t>
        </is>
      </c>
      <c r="C80">
        <f>IF(C59&lt;lease_term_years,stock_pct_sales*D64,0)</f>
        <v/>
      </c>
      <c r="D80">
        <f>IF(D59&lt;lease_term_years,stock_pct_sales*E64,0)</f>
        <v/>
      </c>
      <c r="E80">
        <f>IF(E59&lt;lease_term_years,stock_pct_sales*F64,0)</f>
        <v/>
      </c>
      <c r="F80">
        <f>IF(F59&lt;lease_term_years,stock_pct_sales*G64,0)</f>
        <v/>
      </c>
      <c r="G80">
        <f>IF(G59&lt;lease_term_years,stock_pct_sales*H64,0)</f>
        <v/>
      </c>
      <c r="H80">
        <f>IF(H59&lt;lease_term_years,stock_pct_sales*I64,0)</f>
        <v/>
      </c>
      <c r="I80">
        <f>IF(I59&lt;lease_term_years,stock_pct_sales*J64,0)</f>
        <v/>
      </c>
      <c r="J80">
        <f>IF(J59&lt;lease_term_years,stock_pct_sales*K64,0)</f>
        <v/>
      </c>
      <c r="K80">
        <f>IF(K59&lt;lease_term_years,stock_pct_sales*L64,0)</f>
        <v/>
      </c>
      <c r="L80">
        <f>IF(L59&lt;lease_term_years,stock_pct_sales*M64,0)</f>
        <v/>
      </c>
      <c r="M80">
        <f>IF(M59&lt;lease_term_years,stock_pct_sales*N64,0)</f>
        <v/>
      </c>
      <c r="N80">
        <f>IF(N59&lt;lease_term_years,stock_pct_sales*O64,0)</f>
        <v/>
      </c>
      <c r="O80">
        <f>IF(O59&lt;lease_term_years,stock_pct_sales*P64,0)</f>
        <v/>
      </c>
      <c r="P80">
        <f>IF(P59&lt;lease_term_years,stock_pct_sales*Q64,0)</f>
        <v/>
      </c>
      <c r="Q80">
        <f>IF(Q59&lt;lease_term_years,stock_pct_sales*R64,0)</f>
        <v/>
      </c>
      <c r="R80">
        <f>0</f>
        <v/>
      </c>
    </row>
    <row r="81">
      <c r="A81" t="inlineStr">
        <is>
          <t>Change in stock</t>
        </is>
      </c>
      <c r="C81">
        <f>C80</f>
        <v/>
      </c>
      <c r="D81">
        <f>D80-C80</f>
        <v/>
      </c>
      <c r="E81">
        <f>E80-D80</f>
        <v/>
      </c>
      <c r="F81">
        <f>F80-E80</f>
        <v/>
      </c>
      <c r="G81">
        <f>G80-F80</f>
        <v/>
      </c>
      <c r="H81">
        <f>H80-G80</f>
        <v/>
      </c>
      <c r="I81">
        <f>I80-H80</f>
        <v/>
      </c>
      <c r="J81">
        <f>J80-I80</f>
        <v/>
      </c>
      <c r="K81">
        <f>K80-J80</f>
        <v/>
      </c>
      <c r="L81">
        <f>L80-K80</f>
        <v/>
      </c>
      <c r="M81">
        <f>M80-L80</f>
        <v/>
      </c>
      <c r="N81">
        <f>N80-M80</f>
        <v/>
      </c>
      <c r="O81">
        <f>O80-N80</f>
        <v/>
      </c>
      <c r="P81">
        <f>P80-O80</f>
        <v/>
      </c>
      <c r="Q81">
        <f>Q80-P80</f>
        <v/>
      </c>
      <c r="R81">
        <f>R80-Q80</f>
        <v/>
      </c>
    </row>
    <row r="82">
      <c r="A82" t="inlineStr">
        <is>
          <t>Free cash flow</t>
        </is>
      </c>
      <c r="C82">
        <f>C73-C74-C79-C75-C81-C77</f>
        <v/>
      </c>
      <c r="D82">
        <f>D73-D74-D79-D75-D81-D77</f>
        <v/>
      </c>
      <c r="E82">
        <f>E73-E74-E79-E75-E81-E77</f>
        <v/>
      </c>
      <c r="F82">
        <f>F73-F74-F79-F75-F81-F77</f>
        <v/>
      </c>
      <c r="G82">
        <f>G73-G74-G79-G75-G81-G77</f>
        <v/>
      </c>
      <c r="H82">
        <f>H73-H74-H79-H75-H81-H77</f>
        <v/>
      </c>
      <c r="I82">
        <f>I73-I74-I79-I75-I81-I77</f>
        <v/>
      </c>
      <c r="J82">
        <f>J73-J74-J79-J75-J81-J77</f>
        <v/>
      </c>
      <c r="K82">
        <f>K73-K74-K79-K75-K81-K77</f>
        <v/>
      </c>
      <c r="L82">
        <f>L73-L74-L79-L75-L81-L77</f>
        <v/>
      </c>
      <c r="M82">
        <f>M73-M74-M79-M75-M81-M77</f>
        <v/>
      </c>
      <c r="N82">
        <f>N73-N74-N79-N75-N81-N77</f>
        <v/>
      </c>
      <c r="O82">
        <f>O73-O74-O79-O75-O81-O77</f>
        <v/>
      </c>
      <c r="P82">
        <f>P73-P74-P79-P75-P81-P77</f>
        <v/>
      </c>
      <c r="Q82">
        <f>Q73-Q74-Q79-Q75-Q81-Q77</f>
        <v/>
      </c>
      <c r="R82">
        <f>R73-R74-R79-R75-R81-R77</f>
        <v/>
      </c>
    </row>
    <row r="83">
      <c r="A83" t="inlineStr">
        <is>
          <t>Discount factor</t>
        </is>
      </c>
      <c r="C83">
        <f>1/(1+discount_rate)^C59</f>
        <v/>
      </c>
      <c r="D83">
        <f>1/(1+discount_rate)^D59</f>
        <v/>
      </c>
      <c r="E83">
        <f>1/(1+discount_rate)^E59</f>
        <v/>
      </c>
      <c r="F83">
        <f>1/(1+discount_rate)^F59</f>
        <v/>
      </c>
      <c r="G83">
        <f>1/(1+discount_rate)^G59</f>
        <v/>
      </c>
      <c r="H83">
        <f>1/(1+discount_rate)^H59</f>
        <v/>
      </c>
      <c r="I83">
        <f>1/(1+discount_rate)^I59</f>
        <v/>
      </c>
      <c r="J83">
        <f>1/(1+discount_rate)^J59</f>
        <v/>
      </c>
      <c r="K83">
        <f>1/(1+discount_rate)^K59</f>
        <v/>
      </c>
      <c r="L83">
        <f>1/(1+discount_rate)^L59</f>
        <v/>
      </c>
      <c r="M83">
        <f>1/(1+discount_rate)^M59</f>
        <v/>
      </c>
      <c r="N83">
        <f>1/(1+discount_rate)^N59</f>
        <v/>
      </c>
      <c r="O83">
        <f>1/(1+discount_rate)^O59</f>
        <v/>
      </c>
      <c r="P83">
        <f>1/(1+discount_rate)^P59</f>
        <v/>
      </c>
      <c r="Q83">
        <f>1/(1+discount_rate)^Q59</f>
        <v/>
      </c>
      <c r="R83">
        <f>1/(1+discount_rate)^R59</f>
        <v/>
      </c>
    </row>
    <row r="84">
      <c r="A84" t="inlineStr">
        <is>
          <t>Present value</t>
        </is>
      </c>
      <c r="C84">
        <f>C82*C83</f>
        <v/>
      </c>
      <c r="D84">
        <f>D82*D83</f>
        <v/>
      </c>
      <c r="E84">
        <f>E82*E83</f>
        <v/>
      </c>
      <c r="F84">
        <f>F82*F83</f>
        <v/>
      </c>
      <c r="G84">
        <f>G82*G83</f>
        <v/>
      </c>
      <c r="H84">
        <f>H82*H83</f>
        <v/>
      </c>
      <c r="I84">
        <f>I82*I83</f>
        <v/>
      </c>
      <c r="J84">
        <f>J82*J83</f>
        <v/>
      </c>
      <c r="K84">
        <f>K82*K83</f>
        <v/>
      </c>
      <c r="L84">
        <f>L82*L83</f>
        <v/>
      </c>
      <c r="M84">
        <f>M82*M83</f>
        <v/>
      </c>
      <c r="N84">
        <f>N82*N83</f>
        <v/>
      </c>
      <c r="O84">
        <f>O82*O83</f>
        <v/>
      </c>
      <c r="P84">
        <f>P82*P83</f>
        <v/>
      </c>
      <c r="Q84">
        <f>Q82*Q83</f>
        <v/>
      </c>
      <c r="R84">
        <f>R82*R83</f>
        <v/>
      </c>
    </row>
    <row r="85">
      <c r="A85" t="inlineStr">
        <is>
          <t>Cumulative cash flow</t>
        </is>
      </c>
      <c r="C85">
        <f>C82</f>
        <v/>
      </c>
      <c r="D85">
        <f>C85+D82</f>
        <v/>
      </c>
      <c r="E85">
        <f>D85+E82</f>
        <v/>
      </c>
      <c r="F85">
        <f>E85+F82</f>
        <v/>
      </c>
      <c r="G85">
        <f>F85+G82</f>
        <v/>
      </c>
      <c r="H85">
        <f>G85+H82</f>
        <v/>
      </c>
      <c r="I85">
        <f>H85+I82</f>
        <v/>
      </c>
      <c r="J85">
        <f>I85+J82</f>
        <v/>
      </c>
      <c r="K85">
        <f>J85+K82</f>
        <v/>
      </c>
      <c r="L85">
        <f>K85+L82</f>
        <v/>
      </c>
      <c r="M85">
        <f>L85+M82</f>
        <v/>
      </c>
      <c r="N85">
        <f>M85+N82</f>
        <v/>
      </c>
      <c r="O85">
        <f>N85+O82</f>
        <v/>
      </c>
      <c r="P85">
        <f>O85+P82</f>
        <v/>
      </c>
      <c r="Q85">
        <f>P85+Q82</f>
        <v/>
      </c>
      <c r="R85">
        <f>Q85+R82</f>
        <v/>
      </c>
    </row>
    <row r="86">
      <c r="A86" t="inlineStr">
        <is>
          <t>Payback helper (months)</t>
        </is>
      </c>
      <c r="C86">
        <f>0</f>
        <v/>
      </c>
      <c r="D86">
        <f>IF(AND(C85&lt;0,D85&gt;=0),(D59-1+(-C85)/D82)*12,0)</f>
        <v/>
      </c>
      <c r="E86">
        <f>IF(AND(D85&lt;0,E85&gt;=0),(E59-1+(-D85)/E82)*12,0)</f>
        <v/>
      </c>
      <c r="F86">
        <f>IF(AND(E85&lt;0,F85&gt;=0),(F59-1+(-E85)/F82)*12,0)</f>
        <v/>
      </c>
      <c r="G86">
        <f>IF(AND(F85&lt;0,G85&gt;=0),(G59-1+(-F85)/G82)*12,0)</f>
        <v/>
      </c>
      <c r="H86">
        <f>IF(AND(G85&lt;0,H85&gt;=0),(H59-1+(-G85)/H82)*12,0)</f>
        <v/>
      </c>
      <c r="I86">
        <f>IF(AND(H85&lt;0,I85&gt;=0),(I59-1+(-H85)/I82)*12,0)</f>
        <v/>
      </c>
      <c r="J86">
        <f>IF(AND(I85&lt;0,J85&gt;=0),(J59-1+(-I85)/J82)*12,0)</f>
        <v/>
      </c>
      <c r="K86">
        <f>IF(AND(J85&lt;0,K85&gt;=0),(K59-1+(-J85)/K82)*12,0)</f>
        <v/>
      </c>
      <c r="L86">
        <f>IF(AND(K85&lt;0,L85&gt;=0),(L59-1+(-K85)/L82)*12,0)</f>
        <v/>
      </c>
      <c r="M86">
        <f>IF(AND(L85&lt;0,M85&gt;=0),(M59-1+(-L85)/M82)*12,0)</f>
        <v/>
      </c>
      <c r="N86">
        <f>IF(AND(M85&lt;0,N85&gt;=0),(N59-1+(-M85)/N82)*12,0)</f>
        <v/>
      </c>
      <c r="O86">
        <f>IF(AND(N85&lt;0,O85&gt;=0),(O59-1+(-N85)/O82)*12,0)</f>
        <v/>
      </c>
      <c r="P86">
        <f>IF(AND(O85&lt;0,P85&gt;=0),(P59-1+(-O85)/P82)*12,0)</f>
        <v/>
      </c>
      <c r="Q86">
        <f>IF(AND(P85&lt;0,Q85&gt;=0),(Q59-1+(-P85)/Q82)*12,0)</f>
        <v/>
      </c>
      <c r="R86">
        <f>IF(AND(Q85&lt;0,R85&gt;=0),(R59-1+(-Q85)/R82)*12,0)</f>
        <v/>
      </c>
    </row>
    <row r="88">
      <c r="A88" s="10" t="inlineStr">
        <is>
          <t>npv</t>
        </is>
      </c>
      <c r="B88" s="8">
        <f>SUM($C$84:$R$84)</f>
        <v/>
      </c>
    </row>
    <row r="89">
      <c r="A89" s="10" t="inlineStr">
        <is>
          <t>irr</t>
        </is>
      </c>
      <c r="B89" s="6">
        <f>IRR($C$82:$R$82)</f>
        <v/>
      </c>
    </row>
    <row r="90">
      <c r="A90" s="10" t="inlineStr">
        <is>
          <t>payback_months</t>
        </is>
      </c>
      <c r="B90" s="9">
        <f>IF(SUM($C$86:$R$86)=0,"n/a",SUM($C$86:$R$86))</f>
        <v/>
      </c>
    </row>
    <row r="93">
      <c r="A93" s="10" t="inlineStr">
        <is>
          <t>Scenario: downside, density + 100</t>
        </is>
      </c>
    </row>
    <row r="94">
      <c r="A94" t="inlineStr">
        <is>
          <t>param: density</t>
        </is>
      </c>
      <c r="B94">
        <f>mature_sales_density_low+100</f>
        <v/>
      </c>
    </row>
    <row r="95">
      <c r="A95" t="inlineStr">
        <is>
          <t>param: gm</t>
        </is>
      </c>
      <c r="B95">
        <f>product_gross_margin_low</f>
        <v/>
      </c>
    </row>
    <row r="96">
      <c r="A96" t="inlineStr">
        <is>
          <t>param: rent</t>
        </is>
      </c>
      <c r="B96">
        <f>rent_per_year_high</f>
        <v/>
      </c>
    </row>
    <row r="97">
      <c r="A97" t="inlineStr">
        <is>
          <t>param: capex</t>
        </is>
      </c>
      <c r="B97">
        <f>fitout_capex_high</f>
        <v/>
      </c>
    </row>
    <row r="98">
      <c r="A98" t="inlineStr">
        <is>
          <t>param: ramp1</t>
        </is>
      </c>
      <c r="B98">
        <f>ramp_year1_low</f>
        <v/>
      </c>
    </row>
    <row r="99">
      <c r="A99" t="inlineStr">
        <is>
          <t>param: ramp2</t>
        </is>
      </c>
      <c r="B99">
        <f>ramp_year2_low</f>
        <v/>
      </c>
    </row>
    <row r="100">
      <c r="A100" t="inlineStr">
        <is>
          <t>param: rent_mult</t>
        </is>
      </c>
      <c r="B100" t="n">
        <v>1</v>
      </c>
    </row>
    <row r="101">
      <c r="A101" t="inlineStr">
        <is>
          <t>param: payroll_mult</t>
        </is>
      </c>
      <c r="B101" t="n">
        <v>1</v>
      </c>
    </row>
    <row r="102">
      <c r="A102" t="inlineStr">
        <is>
          <t>param: ramp_mult</t>
        </is>
      </c>
      <c r="B102" t="n">
        <v>1</v>
      </c>
    </row>
    <row r="104">
      <c r="A104" t="inlineStr">
        <is>
          <t>Year</t>
        </is>
      </c>
      <c r="C104" t="n">
        <v>0</v>
      </c>
      <c r="D104" t="n">
        <v>1</v>
      </c>
      <c r="E104" t="n">
        <v>2</v>
      </c>
      <c r="F104" t="n">
        <v>3</v>
      </c>
      <c r="G104" t="n">
        <v>4</v>
      </c>
      <c r="H104" t="n">
        <v>5</v>
      </c>
      <c r="I104" t="n">
        <v>6</v>
      </c>
      <c r="J104" t="n">
        <v>7</v>
      </c>
      <c r="K104" t="n">
        <v>8</v>
      </c>
      <c r="L104" t="n">
        <v>9</v>
      </c>
      <c r="M104" t="n">
        <v>10</v>
      </c>
      <c r="N104" t="n">
        <v>11</v>
      </c>
      <c r="O104" t="n">
        <v>12</v>
      </c>
      <c r="P104" t="n">
        <v>13</v>
      </c>
      <c r="Q104" t="n">
        <v>14</v>
      </c>
      <c r="R104" t="n">
        <v>15</v>
      </c>
    </row>
    <row r="105">
      <c r="A105" t="inlineStr">
        <is>
          <t>Trading year flag</t>
        </is>
      </c>
      <c r="C105">
        <f>IF(AND(C104&gt;=1,C104&lt;=lease_term_years),1,0)</f>
        <v/>
      </c>
      <c r="D105">
        <f>IF(AND(D104&gt;=1,D104&lt;=lease_term_years),1,0)</f>
        <v/>
      </c>
      <c r="E105">
        <f>IF(AND(E104&gt;=1,E104&lt;=lease_term_years),1,0)</f>
        <v/>
      </c>
      <c r="F105">
        <f>IF(AND(F104&gt;=1,F104&lt;=lease_term_years),1,0)</f>
        <v/>
      </c>
      <c r="G105">
        <f>IF(AND(G104&gt;=1,G104&lt;=lease_term_years),1,0)</f>
        <v/>
      </c>
      <c r="H105">
        <f>IF(AND(H104&gt;=1,H104&lt;=lease_term_years),1,0)</f>
        <v/>
      </c>
      <c r="I105">
        <f>IF(AND(I104&gt;=1,I104&lt;=lease_term_years),1,0)</f>
        <v/>
      </c>
      <c r="J105">
        <f>IF(AND(J104&gt;=1,J104&lt;=lease_term_years),1,0)</f>
        <v/>
      </c>
      <c r="K105">
        <f>IF(AND(K104&gt;=1,K104&lt;=lease_term_years),1,0)</f>
        <v/>
      </c>
      <c r="L105">
        <f>IF(AND(L104&gt;=1,L104&lt;=lease_term_years),1,0)</f>
        <v/>
      </c>
      <c r="M105">
        <f>IF(AND(M104&gt;=1,M104&lt;=lease_term_years),1,0)</f>
        <v/>
      </c>
      <c r="N105">
        <f>IF(AND(N104&gt;=1,N104&lt;=lease_term_years),1,0)</f>
        <v/>
      </c>
      <c r="O105">
        <f>IF(AND(O104&gt;=1,O104&lt;=lease_term_years),1,0)</f>
        <v/>
      </c>
      <c r="P105">
        <f>IF(AND(P104&gt;=1,P104&lt;=lease_term_years),1,0)</f>
        <v/>
      </c>
      <c r="Q105">
        <f>IF(AND(Q104&gt;=1,Q104&lt;=lease_term_years),1,0)</f>
        <v/>
      </c>
      <c r="R105">
        <f>IF(AND(R104&gt;=1,R104&lt;=lease_term_years),1,0)</f>
        <v/>
      </c>
    </row>
    <row r="106">
      <c r="A106" t="inlineStr">
        <is>
          <t>Ramp-up (share of mature volume)</t>
        </is>
      </c>
      <c r="C106">
        <f>IF(C104=1,1-(1-$B$98)*$B$102,IF(C104=2,1-(1-$B$99)*$B$102,1))*C105</f>
        <v/>
      </c>
      <c r="D106">
        <f>IF(D104=1,1-(1-$B$98)*$B$102,IF(D104=2,1-(1-$B$99)*$B$102,1))*D105</f>
        <v/>
      </c>
      <c r="E106">
        <f>IF(E104=1,1-(1-$B$98)*$B$102,IF(E104=2,1-(1-$B$99)*$B$102,1))*E105</f>
        <v/>
      </c>
      <c r="F106">
        <f>IF(F104=1,1-(1-$B$98)*$B$102,IF(F104=2,1-(1-$B$99)*$B$102,1))*F105</f>
        <v/>
      </c>
      <c r="G106">
        <f>IF(G104=1,1-(1-$B$98)*$B$102,IF(G104=2,1-(1-$B$99)*$B$102,1))*G105</f>
        <v/>
      </c>
      <c r="H106">
        <f>IF(H104=1,1-(1-$B$98)*$B$102,IF(H104=2,1-(1-$B$99)*$B$102,1))*H105</f>
        <v/>
      </c>
      <c r="I106">
        <f>IF(I104=1,1-(1-$B$98)*$B$102,IF(I104=2,1-(1-$B$99)*$B$102,1))*I105</f>
        <v/>
      </c>
      <c r="J106">
        <f>IF(J104=1,1-(1-$B$98)*$B$102,IF(J104=2,1-(1-$B$99)*$B$102,1))*J105</f>
        <v/>
      </c>
      <c r="K106">
        <f>IF(K104=1,1-(1-$B$98)*$B$102,IF(K104=2,1-(1-$B$99)*$B$102,1))*K105</f>
        <v/>
      </c>
      <c r="L106">
        <f>IF(L104=1,1-(1-$B$98)*$B$102,IF(L104=2,1-(1-$B$99)*$B$102,1))*L105</f>
        <v/>
      </c>
      <c r="M106">
        <f>IF(M104=1,1-(1-$B$98)*$B$102,IF(M104=2,1-(1-$B$99)*$B$102,1))*M105</f>
        <v/>
      </c>
      <c r="N106">
        <f>IF(N104=1,1-(1-$B$98)*$B$102,IF(N104=2,1-(1-$B$99)*$B$102,1))*N105</f>
        <v/>
      </c>
      <c r="O106">
        <f>IF(O104=1,1-(1-$B$98)*$B$102,IF(O104=2,1-(1-$B$99)*$B$102,1))*O105</f>
        <v/>
      </c>
      <c r="P106">
        <f>IF(P104=1,1-(1-$B$98)*$B$102,IF(P104=2,1-(1-$B$99)*$B$102,1))*P105</f>
        <v/>
      </c>
      <c r="Q106">
        <f>IF(Q104=1,1-(1-$B$98)*$B$102,IF(Q104=2,1-(1-$B$99)*$B$102,1))*Q105</f>
        <v/>
      </c>
      <c r="R106">
        <f>IF(R104=1,1-(1-$B$98)*$B$102,IF(R104=2,1-(1-$B$99)*$B$102,1))*R105</f>
        <v/>
      </c>
    </row>
    <row r="107">
      <c r="A107" t="inlineStr">
        <is>
          <t>Sales volume (year-1 prices)</t>
        </is>
      </c>
      <c r="C107">
        <f>area_sqft*$B$94*C106</f>
        <v/>
      </c>
      <c r="D107">
        <f>area_sqft*$B$94*D106</f>
        <v/>
      </c>
      <c r="E107">
        <f>area_sqft*$B$94*E106</f>
        <v/>
      </c>
      <c r="F107">
        <f>area_sqft*$B$94*F106</f>
        <v/>
      </c>
      <c r="G107">
        <f>area_sqft*$B$94*G106</f>
        <v/>
      </c>
      <c r="H107">
        <f>area_sqft*$B$94*H106</f>
        <v/>
      </c>
      <c r="I107">
        <f>area_sqft*$B$94*I106</f>
        <v/>
      </c>
      <c r="J107">
        <f>area_sqft*$B$94*J106</f>
        <v/>
      </c>
      <c r="K107">
        <f>area_sqft*$B$94*K106</f>
        <v/>
      </c>
      <c r="L107">
        <f>area_sqft*$B$94*L106</f>
        <v/>
      </c>
      <c r="M107">
        <f>area_sqft*$B$94*M106</f>
        <v/>
      </c>
      <c r="N107">
        <f>area_sqft*$B$94*N106</f>
        <v/>
      </c>
      <c r="O107">
        <f>area_sqft*$B$94*O106</f>
        <v/>
      </c>
      <c r="P107">
        <f>area_sqft*$B$94*P106</f>
        <v/>
      </c>
      <c r="Q107">
        <f>area_sqft*$B$94*Q106</f>
        <v/>
      </c>
      <c r="R107">
        <f>area_sqft*$B$94*R106</f>
        <v/>
      </c>
    </row>
    <row r="108">
      <c r="A108" t="inlineStr">
        <is>
          <t>Sales growth index</t>
        </is>
      </c>
      <c r="C108">
        <f>IF(C105=1,(1+sales_growth)^(C104-1),0)</f>
        <v/>
      </c>
      <c r="D108">
        <f>IF(D105=1,(1+sales_growth)^(D104-1),0)</f>
        <v/>
      </c>
      <c r="E108">
        <f>IF(E105=1,(1+sales_growth)^(E104-1),0)</f>
        <v/>
      </c>
      <c r="F108">
        <f>IF(F105=1,(1+sales_growth)^(F104-1),0)</f>
        <v/>
      </c>
      <c r="G108">
        <f>IF(G105=1,(1+sales_growth)^(G104-1),0)</f>
        <v/>
      </c>
      <c r="H108">
        <f>IF(H105=1,(1+sales_growth)^(H104-1),0)</f>
        <v/>
      </c>
      <c r="I108">
        <f>IF(I105=1,(1+sales_growth)^(I104-1),0)</f>
        <v/>
      </c>
      <c r="J108">
        <f>IF(J105=1,(1+sales_growth)^(J104-1),0)</f>
        <v/>
      </c>
      <c r="K108">
        <f>IF(K105=1,(1+sales_growth)^(K104-1),0)</f>
        <v/>
      </c>
      <c r="L108">
        <f>IF(L105=1,(1+sales_growth)^(L104-1),0)</f>
        <v/>
      </c>
      <c r="M108">
        <f>IF(M105=1,(1+sales_growth)^(M104-1),0)</f>
        <v/>
      </c>
      <c r="N108">
        <f>IF(N105=1,(1+sales_growth)^(N104-1),0)</f>
        <v/>
      </c>
      <c r="O108">
        <f>IF(O105=1,(1+sales_growth)^(O104-1),0)</f>
        <v/>
      </c>
      <c r="P108">
        <f>IF(P105=1,(1+sales_growth)^(P104-1),0)</f>
        <v/>
      </c>
      <c r="Q108">
        <f>IF(Q105=1,(1+sales_growth)^(Q104-1),0)</f>
        <v/>
      </c>
      <c r="R108">
        <f>IF(R105=1,(1+sales_growth)^(R104-1),0)</f>
        <v/>
      </c>
    </row>
    <row r="109">
      <c r="A109" t="inlineStr">
        <is>
          <t>Sales</t>
        </is>
      </c>
      <c r="C109">
        <f>C107*C108</f>
        <v/>
      </c>
      <c r="D109">
        <f>D107*D108</f>
        <v/>
      </c>
      <c r="E109">
        <f>E107*E108</f>
        <v/>
      </c>
      <c r="F109">
        <f>F107*F108</f>
        <v/>
      </c>
      <c r="G109">
        <f>G107*G108</f>
        <v/>
      </c>
      <c r="H109">
        <f>H107*H108</f>
        <v/>
      </c>
      <c r="I109">
        <f>I107*I108</f>
        <v/>
      </c>
      <c r="J109">
        <f>J107*J108</f>
        <v/>
      </c>
      <c r="K109">
        <f>K107*K108</f>
        <v/>
      </c>
      <c r="L109">
        <f>L107*L108</f>
        <v/>
      </c>
      <c r="M109">
        <f>M107*M108</f>
        <v/>
      </c>
      <c r="N109">
        <f>N107*N108</f>
        <v/>
      </c>
      <c r="O109">
        <f>O107*O108</f>
        <v/>
      </c>
      <c r="P109">
        <f>P107*P108</f>
        <v/>
      </c>
      <c r="Q109">
        <f>Q107*Q108</f>
        <v/>
      </c>
      <c r="R109">
        <f>R107*R108</f>
        <v/>
      </c>
    </row>
    <row r="110">
      <c r="A110" t="inlineStr">
        <is>
          <t>Gross margin</t>
        </is>
      </c>
      <c r="C110">
        <f>C109*$B$95</f>
        <v/>
      </c>
      <c r="D110">
        <f>D109*$B$95</f>
        <v/>
      </c>
      <c r="E110">
        <f>E109*$B$95</f>
        <v/>
      </c>
      <c r="F110">
        <f>F109*$B$95</f>
        <v/>
      </c>
      <c r="G110">
        <f>G109*$B$95</f>
        <v/>
      </c>
      <c r="H110">
        <f>H109*$B$95</f>
        <v/>
      </c>
      <c r="I110">
        <f>I109*$B$95</f>
        <v/>
      </c>
      <c r="J110">
        <f>J109*$B$95</f>
        <v/>
      </c>
      <c r="K110">
        <f>K109*$B$95</f>
        <v/>
      </c>
      <c r="L110">
        <f>L109*$B$95</f>
        <v/>
      </c>
      <c r="M110">
        <f>M109*$B$95</f>
        <v/>
      </c>
      <c r="N110">
        <f>N109*$B$95</f>
        <v/>
      </c>
      <c r="O110">
        <f>O109*$B$95</f>
        <v/>
      </c>
      <c r="P110">
        <f>P109*$B$95</f>
        <v/>
      </c>
      <c r="Q110">
        <f>Q109*$B$95</f>
        <v/>
      </c>
      <c r="R110">
        <f>R109*$B$95</f>
        <v/>
      </c>
    </row>
    <row r="111">
      <c r="A111" t="inlineStr">
        <is>
          <t>Wage index</t>
        </is>
      </c>
      <c r="C111">
        <f>IF(C105=1,(1+wage_inflation)^(C104-1),0)</f>
        <v/>
      </c>
      <c r="D111">
        <f>IF(D105=1,(1+wage_inflation)^(D104-1),0)</f>
        <v/>
      </c>
      <c r="E111">
        <f>IF(E105=1,(1+wage_inflation)^(E104-1),0)</f>
        <v/>
      </c>
      <c r="F111">
        <f>IF(F105=1,(1+wage_inflation)^(F104-1),0)</f>
        <v/>
      </c>
      <c r="G111">
        <f>IF(G105=1,(1+wage_inflation)^(G104-1),0)</f>
        <v/>
      </c>
      <c r="H111">
        <f>IF(H105=1,(1+wage_inflation)^(H104-1),0)</f>
        <v/>
      </c>
      <c r="I111">
        <f>IF(I105=1,(1+wage_inflation)^(I104-1),0)</f>
        <v/>
      </c>
      <c r="J111">
        <f>IF(J105=1,(1+wage_inflation)^(J104-1),0)</f>
        <v/>
      </c>
      <c r="K111">
        <f>IF(K105=1,(1+wage_inflation)^(K104-1),0)</f>
        <v/>
      </c>
      <c r="L111">
        <f>IF(L105=1,(1+wage_inflation)^(L104-1),0)</f>
        <v/>
      </c>
      <c r="M111">
        <f>IF(M105=1,(1+wage_inflation)^(M104-1),0)</f>
        <v/>
      </c>
      <c r="N111">
        <f>IF(N105=1,(1+wage_inflation)^(N104-1),0)</f>
        <v/>
      </c>
      <c r="O111">
        <f>IF(O105=1,(1+wage_inflation)^(O104-1),0)</f>
        <v/>
      </c>
      <c r="P111">
        <f>IF(P105=1,(1+wage_inflation)^(P104-1),0)</f>
        <v/>
      </c>
      <c r="Q111">
        <f>IF(Q105=1,(1+wage_inflation)^(Q104-1),0)</f>
        <v/>
      </c>
      <c r="R111">
        <f>IF(R105=1,(1+wage_inflation)^(R104-1),0)</f>
        <v/>
      </c>
    </row>
    <row r="112">
      <c r="A112" t="inlineStr">
        <is>
          <t>Payroll</t>
        </is>
      </c>
      <c r="C112">
        <f>(fixed_payroll*C105+variable_cost_per_k*C107/1000)*C111*$B$101</f>
        <v/>
      </c>
      <c r="D112">
        <f>(fixed_payroll*D105+variable_cost_per_k*D107/1000)*D111*$B$101</f>
        <v/>
      </c>
      <c r="E112">
        <f>(fixed_payroll*E105+variable_cost_per_k*E107/1000)*E111*$B$101</f>
        <v/>
      </c>
      <c r="F112">
        <f>(fixed_payroll*F105+variable_cost_per_k*F107/1000)*F111*$B$101</f>
        <v/>
      </c>
      <c r="G112">
        <f>(fixed_payroll*G105+variable_cost_per_k*G107/1000)*G111*$B$101</f>
        <v/>
      </c>
      <c r="H112">
        <f>(fixed_payroll*H105+variable_cost_per_k*H107/1000)*H111*$B$101</f>
        <v/>
      </c>
      <c r="I112">
        <f>(fixed_payroll*I105+variable_cost_per_k*I107/1000)*I111*$B$101</f>
        <v/>
      </c>
      <c r="J112">
        <f>(fixed_payroll*J105+variable_cost_per_k*J107/1000)*J111*$B$101</f>
        <v/>
      </c>
      <c r="K112">
        <f>(fixed_payroll*K105+variable_cost_per_k*K107/1000)*K111*$B$101</f>
        <v/>
      </c>
      <c r="L112">
        <f>(fixed_payroll*L105+variable_cost_per_k*L107/1000)*L111*$B$101</f>
        <v/>
      </c>
      <c r="M112">
        <f>(fixed_payroll*M105+variable_cost_per_k*M107/1000)*M111*$B$101</f>
        <v/>
      </c>
      <c r="N112">
        <f>(fixed_payroll*N105+variable_cost_per_k*N107/1000)*N111*$B$101</f>
        <v/>
      </c>
      <c r="O112">
        <f>(fixed_payroll*O105+variable_cost_per_k*O107/1000)*O111*$B$101</f>
        <v/>
      </c>
      <c r="P112">
        <f>(fixed_payroll*P105+variable_cost_per_k*P107/1000)*P111*$B$101</f>
        <v/>
      </c>
      <c r="Q112">
        <f>(fixed_payroll*Q105+variable_cost_per_k*Q107/1000)*Q111*$B$101</f>
        <v/>
      </c>
      <c r="R112">
        <f>(fixed_payroll*R105+variable_cost_per_k*R107/1000)*R111*$B$101</f>
        <v/>
      </c>
    </row>
    <row r="113">
      <c r="A113" t="inlineStr">
        <is>
          <t>Rent</t>
        </is>
      </c>
      <c r="C113">
        <f>$B$96*(1+IF(C104&gt;=6,rent_review_uplift,0))*C105*$B$100</f>
        <v/>
      </c>
      <c r="D113">
        <f>$B$96*(1+IF(D104&gt;=6,rent_review_uplift,0))*D105*$B$100</f>
        <v/>
      </c>
      <c r="E113">
        <f>$B$96*(1+IF(E104&gt;=6,rent_review_uplift,0))*E105*$B$100</f>
        <v/>
      </c>
      <c r="F113">
        <f>$B$96*(1+IF(F104&gt;=6,rent_review_uplift,0))*F105*$B$100</f>
        <v/>
      </c>
      <c r="G113">
        <f>$B$96*(1+IF(G104&gt;=6,rent_review_uplift,0))*G105*$B$100</f>
        <v/>
      </c>
      <c r="H113">
        <f>$B$96*(1+IF(H104&gt;=6,rent_review_uplift,0))*H105*$B$100</f>
        <v/>
      </c>
      <c r="I113">
        <f>$B$96*(1+IF(I104&gt;=6,rent_review_uplift,0))*I105*$B$100</f>
        <v/>
      </c>
      <c r="J113">
        <f>$B$96*(1+IF(J104&gt;=6,rent_review_uplift,0))*J105*$B$100</f>
        <v/>
      </c>
      <c r="K113">
        <f>$B$96*(1+IF(K104&gt;=6,rent_review_uplift,0))*K105*$B$100</f>
        <v/>
      </c>
      <c r="L113">
        <f>$B$96*(1+IF(L104&gt;=6,rent_review_uplift,0))*L105*$B$100</f>
        <v/>
      </c>
      <c r="M113">
        <f>$B$96*(1+IF(M104&gt;=6,rent_review_uplift,0))*M105*$B$100</f>
        <v/>
      </c>
      <c r="N113">
        <f>$B$96*(1+IF(N104&gt;=6,rent_review_uplift,0))*N105*$B$100</f>
        <v/>
      </c>
      <c r="O113">
        <f>$B$96*(1+IF(O104&gt;=6,rent_review_uplift,0))*O105*$B$100</f>
        <v/>
      </c>
      <c r="P113">
        <f>$B$96*(1+IF(P104&gt;=6,rent_review_uplift,0))*P105*$B$100</f>
        <v/>
      </c>
      <c r="Q113">
        <f>$B$96*(1+IF(Q104&gt;=6,rent_review_uplift,0))*Q105*$B$100</f>
        <v/>
      </c>
      <c r="R113">
        <f>$B$96*(1+IF(R104&gt;=6,rent_review_uplift,0))*R105*$B$100</f>
        <v/>
      </c>
    </row>
    <row r="114">
      <c r="A114" t="inlineStr">
        <is>
          <t>Cost index</t>
        </is>
      </c>
      <c r="C114">
        <f>IF(C105=1,(1+cost_inflation)^(C104-1),0)</f>
        <v/>
      </c>
      <c r="D114">
        <f>IF(D105=1,(1+cost_inflation)^(D104-1),0)</f>
        <v/>
      </c>
      <c r="E114">
        <f>IF(E105=1,(1+cost_inflation)^(E104-1),0)</f>
        <v/>
      </c>
      <c r="F114">
        <f>IF(F105=1,(1+cost_inflation)^(F104-1),0)</f>
        <v/>
      </c>
      <c r="G114">
        <f>IF(G105=1,(1+cost_inflation)^(G104-1),0)</f>
        <v/>
      </c>
      <c r="H114">
        <f>IF(H105=1,(1+cost_inflation)^(H104-1),0)</f>
        <v/>
      </c>
      <c r="I114">
        <f>IF(I105=1,(1+cost_inflation)^(I104-1),0)</f>
        <v/>
      </c>
      <c r="J114">
        <f>IF(J105=1,(1+cost_inflation)^(J104-1),0)</f>
        <v/>
      </c>
      <c r="K114">
        <f>IF(K105=1,(1+cost_inflation)^(K104-1),0)</f>
        <v/>
      </c>
      <c r="L114">
        <f>IF(L105=1,(1+cost_inflation)^(L104-1),0)</f>
        <v/>
      </c>
      <c r="M114">
        <f>IF(M105=1,(1+cost_inflation)^(M104-1),0)</f>
        <v/>
      </c>
      <c r="N114">
        <f>IF(N105=1,(1+cost_inflation)^(N104-1),0)</f>
        <v/>
      </c>
      <c r="O114">
        <f>IF(O105=1,(1+cost_inflation)^(O104-1),0)</f>
        <v/>
      </c>
      <c r="P114">
        <f>IF(P105=1,(1+cost_inflation)^(P104-1),0)</f>
        <v/>
      </c>
      <c r="Q114">
        <f>IF(Q105=1,(1+cost_inflation)^(Q104-1),0)</f>
        <v/>
      </c>
      <c r="R114">
        <f>IF(R105=1,(1+cost_inflation)^(R104-1),0)</f>
        <v/>
      </c>
    </row>
    <row r="115">
      <c r="A115" t="inlineStr">
        <is>
          <t>Business rates</t>
        </is>
      </c>
      <c r="C115">
        <f>rateable_value*IF(rateable_value&lt;51000,rates_multiplier_rhl_small,IF(rateable_value&lt;500000,rates_multiplier_rhl_standard,rates_multiplier_high_value))*C114</f>
        <v/>
      </c>
      <c r="D115">
        <f>rateable_value*IF(rateable_value&lt;51000,rates_multiplier_rhl_small,IF(rateable_value&lt;500000,rates_multiplier_rhl_standard,rates_multiplier_high_value))*D114</f>
        <v/>
      </c>
      <c r="E115">
        <f>rateable_value*IF(rateable_value&lt;51000,rates_multiplier_rhl_small,IF(rateable_value&lt;500000,rates_multiplier_rhl_standard,rates_multiplier_high_value))*E114</f>
        <v/>
      </c>
      <c r="F115">
        <f>rateable_value*IF(rateable_value&lt;51000,rates_multiplier_rhl_small,IF(rateable_value&lt;500000,rates_multiplier_rhl_standard,rates_multiplier_high_value))*F114</f>
        <v/>
      </c>
      <c r="G115">
        <f>rateable_value*IF(rateable_value&lt;51000,rates_multiplier_rhl_small,IF(rateable_value&lt;500000,rates_multiplier_rhl_standard,rates_multiplier_high_value))*G114</f>
        <v/>
      </c>
      <c r="H115">
        <f>rateable_value*IF(rateable_value&lt;51000,rates_multiplier_rhl_small,IF(rateable_value&lt;500000,rates_multiplier_rhl_standard,rates_multiplier_high_value))*H114</f>
        <v/>
      </c>
      <c r="I115">
        <f>rateable_value*IF(rateable_value&lt;51000,rates_multiplier_rhl_small,IF(rateable_value&lt;500000,rates_multiplier_rhl_standard,rates_multiplier_high_value))*I114</f>
        <v/>
      </c>
      <c r="J115">
        <f>rateable_value*IF(rateable_value&lt;51000,rates_multiplier_rhl_small,IF(rateable_value&lt;500000,rates_multiplier_rhl_standard,rates_multiplier_high_value))*J114</f>
        <v/>
      </c>
      <c r="K115">
        <f>rateable_value*IF(rateable_value&lt;51000,rates_multiplier_rhl_small,IF(rateable_value&lt;500000,rates_multiplier_rhl_standard,rates_multiplier_high_value))*K114</f>
        <v/>
      </c>
      <c r="L115">
        <f>rateable_value*IF(rateable_value&lt;51000,rates_multiplier_rhl_small,IF(rateable_value&lt;500000,rates_multiplier_rhl_standard,rates_multiplier_high_value))*L114</f>
        <v/>
      </c>
      <c r="M115">
        <f>rateable_value*IF(rateable_value&lt;51000,rates_multiplier_rhl_small,IF(rateable_value&lt;500000,rates_multiplier_rhl_standard,rates_multiplier_high_value))*M114</f>
        <v/>
      </c>
      <c r="N115">
        <f>rateable_value*IF(rateable_value&lt;51000,rates_multiplier_rhl_small,IF(rateable_value&lt;500000,rates_multiplier_rhl_standard,rates_multiplier_high_value))*N114</f>
        <v/>
      </c>
      <c r="O115">
        <f>rateable_value*IF(rateable_value&lt;51000,rates_multiplier_rhl_small,IF(rateable_value&lt;500000,rates_multiplier_rhl_standard,rates_multiplier_high_value))*O114</f>
        <v/>
      </c>
      <c r="P115">
        <f>rateable_value*IF(rateable_value&lt;51000,rates_multiplier_rhl_small,IF(rateable_value&lt;500000,rates_multiplier_rhl_standard,rates_multiplier_high_value))*P114</f>
        <v/>
      </c>
      <c r="Q115">
        <f>rateable_value*IF(rateable_value&lt;51000,rates_multiplier_rhl_small,IF(rateable_value&lt;500000,rates_multiplier_rhl_standard,rates_multiplier_high_value))*Q114</f>
        <v/>
      </c>
      <c r="R115">
        <f>rateable_value*IF(rateable_value&lt;51000,rates_multiplier_rhl_small,IF(rateable_value&lt;500000,rates_multiplier_rhl_standard,rates_multiplier_high_value))*R114</f>
        <v/>
      </c>
    </row>
    <row r="116">
      <c r="A116" t="inlineStr">
        <is>
          <t>Service charge, utilities, insurance</t>
        </is>
      </c>
      <c r="C116">
        <f>occupancy_other_psf*area_sqft*C114</f>
        <v/>
      </c>
      <c r="D116">
        <f>occupancy_other_psf*area_sqft*D114</f>
        <v/>
      </c>
      <c r="E116">
        <f>occupancy_other_psf*area_sqft*E114</f>
        <v/>
      </c>
      <c r="F116">
        <f>occupancy_other_psf*area_sqft*F114</f>
        <v/>
      </c>
      <c r="G116">
        <f>occupancy_other_psf*area_sqft*G114</f>
        <v/>
      </c>
      <c r="H116">
        <f>occupancy_other_psf*area_sqft*H114</f>
        <v/>
      </c>
      <c r="I116">
        <f>occupancy_other_psf*area_sqft*I114</f>
        <v/>
      </c>
      <c r="J116">
        <f>occupancy_other_psf*area_sqft*J114</f>
        <v/>
      </c>
      <c r="K116">
        <f>occupancy_other_psf*area_sqft*K114</f>
        <v/>
      </c>
      <c r="L116">
        <f>occupancy_other_psf*area_sqft*L114</f>
        <v/>
      </c>
      <c r="M116">
        <f>occupancy_other_psf*area_sqft*M114</f>
        <v/>
      </c>
      <c r="N116">
        <f>occupancy_other_psf*area_sqft*N114</f>
        <v/>
      </c>
      <c r="O116">
        <f>occupancy_other_psf*area_sqft*O114</f>
        <v/>
      </c>
      <c r="P116">
        <f>occupancy_other_psf*area_sqft*P114</f>
        <v/>
      </c>
      <c r="Q116">
        <f>occupancy_other_psf*area_sqft*Q114</f>
        <v/>
      </c>
      <c r="R116">
        <f>occupancy_other_psf*area_sqft*R114</f>
        <v/>
      </c>
    </row>
    <row r="117">
      <c r="A117" t="inlineStr">
        <is>
          <t>Other store opex</t>
        </is>
      </c>
      <c r="C117">
        <f>C109*other_opex_pct_sales</f>
        <v/>
      </c>
      <c r="D117">
        <f>D109*other_opex_pct_sales</f>
        <v/>
      </c>
      <c r="E117">
        <f>E109*other_opex_pct_sales</f>
        <v/>
      </c>
      <c r="F117">
        <f>F109*other_opex_pct_sales</f>
        <v/>
      </c>
      <c r="G117">
        <f>G109*other_opex_pct_sales</f>
        <v/>
      </c>
      <c r="H117">
        <f>H109*other_opex_pct_sales</f>
        <v/>
      </c>
      <c r="I117">
        <f>I109*other_opex_pct_sales</f>
        <v/>
      </c>
      <c r="J117">
        <f>J109*other_opex_pct_sales</f>
        <v/>
      </c>
      <c r="K117">
        <f>K109*other_opex_pct_sales</f>
        <v/>
      </c>
      <c r="L117">
        <f>L109*other_opex_pct_sales</f>
        <v/>
      </c>
      <c r="M117">
        <f>M109*other_opex_pct_sales</f>
        <v/>
      </c>
      <c r="N117">
        <f>N109*other_opex_pct_sales</f>
        <v/>
      </c>
      <c r="O117">
        <f>O109*other_opex_pct_sales</f>
        <v/>
      </c>
      <c r="P117">
        <f>P109*other_opex_pct_sales</f>
        <v/>
      </c>
      <c r="Q117">
        <f>Q109*other_opex_pct_sales</f>
        <v/>
      </c>
      <c r="R117">
        <f>R109*other_opex_pct_sales</f>
        <v/>
      </c>
    </row>
    <row r="118">
      <c r="A118" t="inlineStr">
        <is>
          <t>Store EBITDA (4-wall)</t>
        </is>
      </c>
      <c r="C118">
        <f>C110-C112-C113-C115-C116-C117</f>
        <v/>
      </c>
      <c r="D118">
        <f>D110-D112-D113-D115-D116-D117</f>
        <v/>
      </c>
      <c r="E118">
        <f>E110-E112-E113-E115-E116-E117</f>
        <v/>
      </c>
      <c r="F118">
        <f>F110-F112-F113-F115-F116-F117</f>
        <v/>
      </c>
      <c r="G118">
        <f>G110-G112-G113-G115-G116-G117</f>
        <v/>
      </c>
      <c r="H118">
        <f>H110-H112-H113-H115-H116-H117</f>
        <v/>
      </c>
      <c r="I118">
        <f>I110-I112-I113-I115-I116-I117</f>
        <v/>
      </c>
      <c r="J118">
        <f>J110-J112-J113-J115-J116-J117</f>
        <v/>
      </c>
      <c r="K118">
        <f>K110-K112-K113-K115-K116-K117</f>
        <v/>
      </c>
      <c r="L118">
        <f>L110-L112-L113-L115-L116-L117</f>
        <v/>
      </c>
      <c r="M118">
        <f>M110-M112-M113-M115-M116-M117</f>
        <v/>
      </c>
      <c r="N118">
        <f>N110-N112-N113-N115-N116-N117</f>
        <v/>
      </c>
      <c r="O118">
        <f>O110-O112-O113-O115-O116-O117</f>
        <v/>
      </c>
      <c r="P118">
        <f>P110-P112-P113-P115-P116-P117</f>
        <v/>
      </c>
      <c r="Q118">
        <f>Q110-Q112-Q113-Q115-Q116-Q117</f>
        <v/>
      </c>
      <c r="R118">
        <f>R110-R112-R113-R115-R116-R117</f>
        <v/>
      </c>
    </row>
    <row r="119">
      <c r="A119" t="inlineStr">
        <is>
          <t>Pre-opening costs</t>
        </is>
      </c>
      <c r="C119">
        <f>IF(C104=0,pre_opening_costs,0)</f>
        <v/>
      </c>
      <c r="D119">
        <f>IF(D104=0,pre_opening_costs,0)</f>
        <v/>
      </c>
      <c r="E119">
        <f>IF(E104=0,pre_opening_costs,0)</f>
        <v/>
      </c>
      <c r="F119">
        <f>IF(F104=0,pre_opening_costs,0)</f>
        <v/>
      </c>
      <c r="G119">
        <f>IF(G104=0,pre_opening_costs,0)</f>
        <v/>
      </c>
      <c r="H119">
        <f>IF(H104=0,pre_opening_costs,0)</f>
        <v/>
      </c>
      <c r="I119">
        <f>IF(I104=0,pre_opening_costs,0)</f>
        <v/>
      </c>
      <c r="J119">
        <f>IF(J104=0,pre_opening_costs,0)</f>
        <v/>
      </c>
      <c r="K119">
        <f>IF(K104=0,pre_opening_costs,0)</f>
        <v/>
      </c>
      <c r="L119">
        <f>IF(L104=0,pre_opening_costs,0)</f>
        <v/>
      </c>
      <c r="M119">
        <f>IF(M104=0,pre_opening_costs,0)</f>
        <v/>
      </c>
      <c r="N119">
        <f>IF(N104=0,pre_opening_costs,0)</f>
        <v/>
      </c>
      <c r="O119">
        <f>IF(O104=0,pre_opening_costs,0)</f>
        <v/>
      </c>
      <c r="P119">
        <f>IF(P104=0,pre_opening_costs,0)</f>
        <v/>
      </c>
      <c r="Q119">
        <f>IF(Q104=0,pre_opening_costs,0)</f>
        <v/>
      </c>
      <c r="R119">
        <f>IF(R104=0,pre_opening_costs,0)</f>
        <v/>
      </c>
    </row>
    <row r="120">
      <c r="A120" t="inlineStr">
        <is>
          <t>Fit-out capex</t>
        </is>
      </c>
      <c r="C120">
        <f>IF(C104=0,$B$97,0)</f>
        <v/>
      </c>
      <c r="D120">
        <f>IF(D104=0,$B$97,0)</f>
        <v/>
      </c>
      <c r="E120">
        <f>IF(E104=0,$B$97,0)</f>
        <v/>
      </c>
      <c r="F120">
        <f>IF(F104=0,$B$97,0)</f>
        <v/>
      </c>
      <c r="G120">
        <f>IF(G104=0,$B$97,0)</f>
        <v/>
      </c>
      <c r="H120">
        <f>IF(H104=0,$B$97,0)</f>
        <v/>
      </c>
      <c r="I120">
        <f>IF(I104=0,$B$97,0)</f>
        <v/>
      </c>
      <c r="J120">
        <f>IF(J104=0,$B$97,0)</f>
        <v/>
      </c>
      <c r="K120">
        <f>IF(K104=0,$B$97,0)</f>
        <v/>
      </c>
      <c r="L120">
        <f>IF(L104=0,$B$97,0)</f>
        <v/>
      </c>
      <c r="M120">
        <f>IF(M104=0,$B$97,0)</f>
        <v/>
      </c>
      <c r="N120">
        <f>IF(N104=0,$B$97,0)</f>
        <v/>
      </c>
      <c r="O120">
        <f>IF(O104=0,$B$97,0)</f>
        <v/>
      </c>
      <c r="P120">
        <f>IF(P104=0,$B$97,0)</f>
        <v/>
      </c>
      <c r="Q120">
        <f>IF(Q104=0,$B$97,0)</f>
        <v/>
      </c>
      <c r="R120">
        <f>IF(R104=0,$B$97,0)</f>
        <v/>
      </c>
    </row>
    <row r="121">
      <c r="A121" t="inlineStr">
        <is>
          <t>Tax depreciation</t>
        </is>
      </c>
      <c r="C121">
        <f>IF(AND(C104&gt;=1,C104&lt;=tax_depreciation_years,C104&lt;=lease_term_years),$B$97/tax_depreciation_years,0)</f>
        <v/>
      </c>
      <c r="D121">
        <f>IF(AND(D104&gt;=1,D104&lt;=tax_depreciation_years,D104&lt;=lease_term_years),$B$97/tax_depreciation_years,0)</f>
        <v/>
      </c>
      <c r="E121">
        <f>IF(AND(E104&gt;=1,E104&lt;=tax_depreciation_years,E104&lt;=lease_term_years),$B$97/tax_depreciation_years,0)</f>
        <v/>
      </c>
      <c r="F121">
        <f>IF(AND(F104&gt;=1,F104&lt;=tax_depreciation_years,F104&lt;=lease_term_years),$B$97/tax_depreciation_years,0)</f>
        <v/>
      </c>
      <c r="G121">
        <f>IF(AND(G104&gt;=1,G104&lt;=tax_depreciation_years,G104&lt;=lease_term_years),$B$97/tax_depreciation_years,0)</f>
        <v/>
      </c>
      <c r="H121">
        <f>IF(AND(H104&gt;=1,H104&lt;=tax_depreciation_years,H104&lt;=lease_term_years),$B$97/tax_depreciation_years,0)</f>
        <v/>
      </c>
      <c r="I121">
        <f>IF(AND(I104&gt;=1,I104&lt;=tax_depreciation_years,I104&lt;=lease_term_years),$B$97/tax_depreciation_years,0)</f>
        <v/>
      </c>
      <c r="J121">
        <f>IF(AND(J104&gt;=1,J104&lt;=tax_depreciation_years,J104&lt;=lease_term_years),$B$97/tax_depreciation_years,0)</f>
        <v/>
      </c>
      <c r="K121">
        <f>IF(AND(K104&gt;=1,K104&lt;=tax_depreciation_years,K104&lt;=lease_term_years),$B$97/tax_depreciation_years,0)</f>
        <v/>
      </c>
      <c r="L121">
        <f>IF(AND(L104&gt;=1,L104&lt;=tax_depreciation_years,L104&lt;=lease_term_years),$B$97/tax_depreciation_years,0)</f>
        <v/>
      </c>
      <c r="M121">
        <f>IF(AND(M104&gt;=1,M104&lt;=tax_depreciation_years,M104&lt;=lease_term_years),$B$97/tax_depreciation_years,0)</f>
        <v/>
      </c>
      <c r="N121">
        <f>IF(AND(N104&gt;=1,N104&lt;=tax_depreciation_years,N104&lt;=lease_term_years),$B$97/tax_depreciation_years,0)</f>
        <v/>
      </c>
      <c r="O121">
        <f>IF(AND(O104&gt;=1,O104&lt;=tax_depreciation_years,O104&lt;=lease_term_years),$B$97/tax_depreciation_years,0)</f>
        <v/>
      </c>
      <c r="P121">
        <f>IF(AND(P104&gt;=1,P104&lt;=tax_depreciation_years,P104&lt;=lease_term_years),$B$97/tax_depreciation_years,0)</f>
        <v/>
      </c>
      <c r="Q121">
        <f>IF(AND(Q104&gt;=1,Q104&lt;=tax_depreciation_years,Q104&lt;=lease_term_years),$B$97/tax_depreciation_years,0)</f>
        <v/>
      </c>
      <c r="R121">
        <f>IF(AND(R104&gt;=1,R104&lt;=tax_depreciation_years,R104&lt;=lease_term_years),$B$97/tax_depreciation_years,0)</f>
        <v/>
      </c>
    </row>
    <row r="122">
      <c r="A122" t="inlineStr">
        <is>
          <t>Dilapidations</t>
        </is>
      </c>
      <c r="C122">
        <f>IF(C104=lease_term_years,dilapidations_at_exit,0)</f>
        <v/>
      </c>
      <c r="D122">
        <f>IF(D104=lease_term_years,dilapidations_at_exit,0)</f>
        <v/>
      </c>
      <c r="E122">
        <f>IF(E104=lease_term_years,dilapidations_at_exit,0)</f>
        <v/>
      </c>
      <c r="F122">
        <f>IF(F104=lease_term_years,dilapidations_at_exit,0)</f>
        <v/>
      </c>
      <c r="G122">
        <f>IF(G104=lease_term_years,dilapidations_at_exit,0)</f>
        <v/>
      </c>
      <c r="H122">
        <f>IF(H104=lease_term_years,dilapidations_at_exit,0)</f>
        <v/>
      </c>
      <c r="I122">
        <f>IF(I104=lease_term_years,dilapidations_at_exit,0)</f>
        <v/>
      </c>
      <c r="J122">
        <f>IF(J104=lease_term_years,dilapidations_at_exit,0)</f>
        <v/>
      </c>
      <c r="K122">
        <f>IF(K104=lease_term_years,dilapidations_at_exit,0)</f>
        <v/>
      </c>
      <c r="L122">
        <f>IF(L104=lease_term_years,dilapidations_at_exit,0)</f>
        <v/>
      </c>
      <c r="M122">
        <f>IF(M104=lease_term_years,dilapidations_at_exit,0)</f>
        <v/>
      </c>
      <c r="N122">
        <f>IF(N104=lease_term_years,dilapidations_at_exit,0)</f>
        <v/>
      </c>
      <c r="O122">
        <f>IF(O104=lease_term_years,dilapidations_at_exit,0)</f>
        <v/>
      </c>
      <c r="P122">
        <f>IF(P104=lease_term_years,dilapidations_at_exit,0)</f>
        <v/>
      </c>
      <c r="Q122">
        <f>IF(Q104=lease_term_years,dilapidations_at_exit,0)</f>
        <v/>
      </c>
      <c r="R122">
        <f>IF(R104=lease_term_years,dilapidations_at_exit,0)</f>
        <v/>
      </c>
    </row>
    <row r="123">
      <c r="A123" t="inlineStr">
        <is>
          <t>Taxable profit</t>
        </is>
      </c>
      <c r="C123">
        <f>C118-C119-C121-C122</f>
        <v/>
      </c>
      <c r="D123">
        <f>D118-D119-D121-D122</f>
        <v/>
      </c>
      <c r="E123">
        <f>E118-E119-E121-E122</f>
        <v/>
      </c>
      <c r="F123">
        <f>F118-F119-F121-F122</f>
        <v/>
      </c>
      <c r="G123">
        <f>G118-G119-G121-G122</f>
        <v/>
      </c>
      <c r="H123">
        <f>H118-H119-H121-H122</f>
        <v/>
      </c>
      <c r="I123">
        <f>I118-I119-I121-I122</f>
        <v/>
      </c>
      <c r="J123">
        <f>J118-J119-J121-J122</f>
        <v/>
      </c>
      <c r="K123">
        <f>K118-K119-K121-K122</f>
        <v/>
      </c>
      <c r="L123">
        <f>L118-L119-L121-L122</f>
        <v/>
      </c>
      <c r="M123">
        <f>M118-M119-M121-M122</f>
        <v/>
      </c>
      <c r="N123">
        <f>N118-N119-N121-N122</f>
        <v/>
      </c>
      <c r="O123">
        <f>O118-O119-O121-O122</f>
        <v/>
      </c>
      <c r="P123">
        <f>P118-P119-P121-P122</f>
        <v/>
      </c>
      <c r="Q123">
        <f>Q118-Q119-Q121-Q122</f>
        <v/>
      </c>
      <c r="R123">
        <f>R118-R119-R121-R122</f>
        <v/>
      </c>
    </row>
    <row r="124">
      <c r="A124" t="inlineStr">
        <is>
          <t>Tax (negative = group relief)</t>
        </is>
      </c>
      <c r="C124">
        <f>C123*tax_rate</f>
        <v/>
      </c>
      <c r="D124">
        <f>D123*tax_rate</f>
        <v/>
      </c>
      <c r="E124">
        <f>E123*tax_rate</f>
        <v/>
      </c>
      <c r="F124">
        <f>F123*tax_rate</f>
        <v/>
      </c>
      <c r="G124">
        <f>G123*tax_rate</f>
        <v/>
      </c>
      <c r="H124">
        <f>H123*tax_rate</f>
        <v/>
      </c>
      <c r="I124">
        <f>I123*tax_rate</f>
        <v/>
      </c>
      <c r="J124">
        <f>J123*tax_rate</f>
        <v/>
      </c>
      <c r="K124">
        <f>K123*tax_rate</f>
        <v/>
      </c>
      <c r="L124">
        <f>L123*tax_rate</f>
        <v/>
      </c>
      <c r="M124">
        <f>M123*tax_rate</f>
        <v/>
      </c>
      <c r="N124">
        <f>N123*tax_rate</f>
        <v/>
      </c>
      <c r="O124">
        <f>O123*tax_rate</f>
        <v/>
      </c>
      <c r="P124">
        <f>P123*tax_rate</f>
        <v/>
      </c>
      <c r="Q124">
        <f>Q123*tax_rate</f>
        <v/>
      </c>
      <c r="R124">
        <f>R123*tax_rate</f>
        <v/>
      </c>
    </row>
    <row r="125">
      <c r="A125" t="inlineStr">
        <is>
          <t>Stock held</t>
        </is>
      </c>
      <c r="C125">
        <f>IF(C104&lt;lease_term_years,stock_pct_sales*D109,0)</f>
        <v/>
      </c>
      <c r="D125">
        <f>IF(D104&lt;lease_term_years,stock_pct_sales*E109,0)</f>
        <v/>
      </c>
      <c r="E125">
        <f>IF(E104&lt;lease_term_years,stock_pct_sales*F109,0)</f>
        <v/>
      </c>
      <c r="F125">
        <f>IF(F104&lt;lease_term_years,stock_pct_sales*G109,0)</f>
        <v/>
      </c>
      <c r="G125">
        <f>IF(G104&lt;lease_term_years,stock_pct_sales*H109,0)</f>
        <v/>
      </c>
      <c r="H125">
        <f>IF(H104&lt;lease_term_years,stock_pct_sales*I109,0)</f>
        <v/>
      </c>
      <c r="I125">
        <f>IF(I104&lt;lease_term_years,stock_pct_sales*J109,0)</f>
        <v/>
      </c>
      <c r="J125">
        <f>IF(J104&lt;lease_term_years,stock_pct_sales*K109,0)</f>
        <v/>
      </c>
      <c r="K125">
        <f>IF(K104&lt;lease_term_years,stock_pct_sales*L109,0)</f>
        <v/>
      </c>
      <c r="L125">
        <f>IF(L104&lt;lease_term_years,stock_pct_sales*M109,0)</f>
        <v/>
      </c>
      <c r="M125">
        <f>IF(M104&lt;lease_term_years,stock_pct_sales*N109,0)</f>
        <v/>
      </c>
      <c r="N125">
        <f>IF(N104&lt;lease_term_years,stock_pct_sales*O109,0)</f>
        <v/>
      </c>
      <c r="O125">
        <f>IF(O104&lt;lease_term_years,stock_pct_sales*P109,0)</f>
        <v/>
      </c>
      <c r="P125">
        <f>IF(P104&lt;lease_term_years,stock_pct_sales*Q109,0)</f>
        <v/>
      </c>
      <c r="Q125">
        <f>IF(Q104&lt;lease_term_years,stock_pct_sales*R109,0)</f>
        <v/>
      </c>
      <c r="R125">
        <f>0</f>
        <v/>
      </c>
    </row>
    <row r="126">
      <c r="A126" t="inlineStr">
        <is>
          <t>Change in stock</t>
        </is>
      </c>
      <c r="C126">
        <f>C125</f>
        <v/>
      </c>
      <c r="D126">
        <f>D125-C125</f>
        <v/>
      </c>
      <c r="E126">
        <f>E125-D125</f>
        <v/>
      </c>
      <c r="F126">
        <f>F125-E125</f>
        <v/>
      </c>
      <c r="G126">
        <f>G125-F125</f>
        <v/>
      </c>
      <c r="H126">
        <f>H125-G125</f>
        <v/>
      </c>
      <c r="I126">
        <f>I125-H125</f>
        <v/>
      </c>
      <c r="J126">
        <f>J125-I125</f>
        <v/>
      </c>
      <c r="K126">
        <f>K125-J125</f>
        <v/>
      </c>
      <c r="L126">
        <f>L125-K125</f>
        <v/>
      </c>
      <c r="M126">
        <f>M125-L125</f>
        <v/>
      </c>
      <c r="N126">
        <f>N125-M125</f>
        <v/>
      </c>
      <c r="O126">
        <f>O125-N125</f>
        <v/>
      </c>
      <c r="P126">
        <f>P125-O125</f>
        <v/>
      </c>
      <c r="Q126">
        <f>Q125-P125</f>
        <v/>
      </c>
      <c r="R126">
        <f>R125-Q125</f>
        <v/>
      </c>
    </row>
    <row r="127">
      <c r="A127" t="inlineStr">
        <is>
          <t>Free cash flow</t>
        </is>
      </c>
      <c r="C127">
        <f>C118-C119-C124-C120-C126-C122</f>
        <v/>
      </c>
      <c r="D127">
        <f>D118-D119-D124-D120-D126-D122</f>
        <v/>
      </c>
      <c r="E127">
        <f>E118-E119-E124-E120-E126-E122</f>
        <v/>
      </c>
      <c r="F127">
        <f>F118-F119-F124-F120-F126-F122</f>
        <v/>
      </c>
      <c r="G127">
        <f>G118-G119-G124-G120-G126-G122</f>
        <v/>
      </c>
      <c r="H127">
        <f>H118-H119-H124-H120-H126-H122</f>
        <v/>
      </c>
      <c r="I127">
        <f>I118-I119-I124-I120-I126-I122</f>
        <v/>
      </c>
      <c r="J127">
        <f>J118-J119-J124-J120-J126-J122</f>
        <v/>
      </c>
      <c r="K127">
        <f>K118-K119-K124-K120-K126-K122</f>
        <v/>
      </c>
      <c r="L127">
        <f>L118-L119-L124-L120-L126-L122</f>
        <v/>
      </c>
      <c r="M127">
        <f>M118-M119-M124-M120-M126-M122</f>
        <v/>
      </c>
      <c r="N127">
        <f>N118-N119-N124-N120-N126-N122</f>
        <v/>
      </c>
      <c r="O127">
        <f>O118-O119-O124-O120-O126-O122</f>
        <v/>
      </c>
      <c r="P127">
        <f>P118-P119-P124-P120-P126-P122</f>
        <v/>
      </c>
      <c r="Q127">
        <f>Q118-Q119-Q124-Q120-Q126-Q122</f>
        <v/>
      </c>
      <c r="R127">
        <f>R118-R119-R124-R120-R126-R122</f>
        <v/>
      </c>
    </row>
    <row r="128">
      <c r="A128" t="inlineStr">
        <is>
          <t>Discount factor</t>
        </is>
      </c>
      <c r="C128">
        <f>1/(1+discount_rate)^C104</f>
        <v/>
      </c>
      <c r="D128">
        <f>1/(1+discount_rate)^D104</f>
        <v/>
      </c>
      <c r="E128">
        <f>1/(1+discount_rate)^E104</f>
        <v/>
      </c>
      <c r="F128">
        <f>1/(1+discount_rate)^F104</f>
        <v/>
      </c>
      <c r="G128">
        <f>1/(1+discount_rate)^G104</f>
        <v/>
      </c>
      <c r="H128">
        <f>1/(1+discount_rate)^H104</f>
        <v/>
      </c>
      <c r="I128">
        <f>1/(1+discount_rate)^I104</f>
        <v/>
      </c>
      <c r="J128">
        <f>1/(1+discount_rate)^J104</f>
        <v/>
      </c>
      <c r="K128">
        <f>1/(1+discount_rate)^K104</f>
        <v/>
      </c>
      <c r="L128">
        <f>1/(1+discount_rate)^L104</f>
        <v/>
      </c>
      <c r="M128">
        <f>1/(1+discount_rate)^M104</f>
        <v/>
      </c>
      <c r="N128">
        <f>1/(1+discount_rate)^N104</f>
        <v/>
      </c>
      <c r="O128">
        <f>1/(1+discount_rate)^O104</f>
        <v/>
      </c>
      <c r="P128">
        <f>1/(1+discount_rate)^P104</f>
        <v/>
      </c>
      <c r="Q128">
        <f>1/(1+discount_rate)^Q104</f>
        <v/>
      </c>
      <c r="R128">
        <f>1/(1+discount_rate)^R104</f>
        <v/>
      </c>
    </row>
    <row r="129">
      <c r="A129" t="inlineStr">
        <is>
          <t>Present value</t>
        </is>
      </c>
      <c r="C129">
        <f>C127*C128</f>
        <v/>
      </c>
      <c r="D129">
        <f>D127*D128</f>
        <v/>
      </c>
      <c r="E129">
        <f>E127*E128</f>
        <v/>
      </c>
      <c r="F129">
        <f>F127*F128</f>
        <v/>
      </c>
      <c r="G129">
        <f>G127*G128</f>
        <v/>
      </c>
      <c r="H129">
        <f>H127*H128</f>
        <v/>
      </c>
      <c r="I129">
        <f>I127*I128</f>
        <v/>
      </c>
      <c r="J129">
        <f>J127*J128</f>
        <v/>
      </c>
      <c r="K129">
        <f>K127*K128</f>
        <v/>
      </c>
      <c r="L129">
        <f>L127*L128</f>
        <v/>
      </c>
      <c r="M129">
        <f>M127*M128</f>
        <v/>
      </c>
      <c r="N129">
        <f>N127*N128</f>
        <v/>
      </c>
      <c r="O129">
        <f>O127*O128</f>
        <v/>
      </c>
      <c r="P129">
        <f>P127*P128</f>
        <v/>
      </c>
      <c r="Q129">
        <f>Q127*Q128</f>
        <v/>
      </c>
      <c r="R129">
        <f>R127*R128</f>
        <v/>
      </c>
    </row>
    <row r="130">
      <c r="A130" t="inlineStr">
        <is>
          <t>Cumulative cash flow</t>
        </is>
      </c>
      <c r="C130">
        <f>C127</f>
        <v/>
      </c>
      <c r="D130">
        <f>C130+D127</f>
        <v/>
      </c>
      <c r="E130">
        <f>D130+E127</f>
        <v/>
      </c>
      <c r="F130">
        <f>E130+F127</f>
        <v/>
      </c>
      <c r="G130">
        <f>F130+G127</f>
        <v/>
      </c>
      <c r="H130">
        <f>G130+H127</f>
        <v/>
      </c>
      <c r="I130">
        <f>H130+I127</f>
        <v/>
      </c>
      <c r="J130">
        <f>I130+J127</f>
        <v/>
      </c>
      <c r="K130">
        <f>J130+K127</f>
        <v/>
      </c>
      <c r="L130">
        <f>K130+L127</f>
        <v/>
      </c>
      <c r="M130">
        <f>L130+M127</f>
        <v/>
      </c>
      <c r="N130">
        <f>M130+N127</f>
        <v/>
      </c>
      <c r="O130">
        <f>N130+O127</f>
        <v/>
      </c>
      <c r="P130">
        <f>O130+P127</f>
        <v/>
      </c>
      <c r="Q130">
        <f>P130+Q127</f>
        <v/>
      </c>
      <c r="R130">
        <f>Q130+R127</f>
        <v/>
      </c>
    </row>
    <row r="131">
      <c r="A131" t="inlineStr">
        <is>
          <t>Payback helper (months)</t>
        </is>
      </c>
      <c r="C131">
        <f>0</f>
        <v/>
      </c>
      <c r="D131">
        <f>IF(AND(C130&lt;0,D130&gt;=0),(D104-1+(-C130)/D127)*12,0)</f>
        <v/>
      </c>
      <c r="E131">
        <f>IF(AND(D130&lt;0,E130&gt;=0),(E104-1+(-D130)/E127)*12,0)</f>
        <v/>
      </c>
      <c r="F131">
        <f>IF(AND(E130&lt;0,F130&gt;=0),(F104-1+(-E130)/F127)*12,0)</f>
        <v/>
      </c>
      <c r="G131">
        <f>IF(AND(F130&lt;0,G130&gt;=0),(G104-1+(-F130)/G127)*12,0)</f>
        <v/>
      </c>
      <c r="H131">
        <f>IF(AND(G130&lt;0,H130&gt;=0),(H104-1+(-G130)/H127)*12,0)</f>
        <v/>
      </c>
      <c r="I131">
        <f>IF(AND(H130&lt;0,I130&gt;=0),(I104-1+(-H130)/I127)*12,0)</f>
        <v/>
      </c>
      <c r="J131">
        <f>IF(AND(I130&lt;0,J130&gt;=0),(J104-1+(-I130)/J127)*12,0)</f>
        <v/>
      </c>
      <c r="K131">
        <f>IF(AND(J130&lt;0,K130&gt;=0),(K104-1+(-J130)/K127)*12,0)</f>
        <v/>
      </c>
      <c r="L131">
        <f>IF(AND(K130&lt;0,L130&gt;=0),(L104-1+(-K130)/L127)*12,0)</f>
        <v/>
      </c>
      <c r="M131">
        <f>IF(AND(L130&lt;0,M130&gt;=0),(M104-1+(-L130)/M127)*12,0)</f>
        <v/>
      </c>
      <c r="N131">
        <f>IF(AND(M130&lt;0,N130&gt;=0),(N104-1+(-M130)/N127)*12,0)</f>
        <v/>
      </c>
      <c r="O131">
        <f>IF(AND(N130&lt;0,O130&gt;=0),(O104-1+(-N130)/O127)*12,0)</f>
        <v/>
      </c>
      <c r="P131">
        <f>IF(AND(O130&lt;0,P130&gt;=0),(P104-1+(-O130)/P127)*12,0)</f>
        <v/>
      </c>
      <c r="Q131">
        <f>IF(AND(P130&lt;0,Q130&gt;=0),(Q104-1+(-P130)/Q127)*12,0)</f>
        <v/>
      </c>
      <c r="R131">
        <f>IF(AND(Q130&lt;0,R130&gt;=0),(R104-1+(-Q130)/R127)*12,0)</f>
        <v/>
      </c>
    </row>
    <row r="133">
      <c r="A133" s="10" t="inlineStr">
        <is>
          <t>npv</t>
        </is>
      </c>
      <c r="B133" s="8">
        <f>SUM($C$129:$R$129)</f>
        <v/>
      </c>
    </row>
    <row r="134">
      <c r="A134" s="10" t="inlineStr">
        <is>
          <t>irr</t>
        </is>
      </c>
      <c r="B134" s="6">
        <f>IRR($C$127:$R$127)</f>
        <v/>
      </c>
    </row>
    <row r="135">
      <c r="A135" s="10" t="inlineStr">
        <is>
          <t>payback_months</t>
        </is>
      </c>
      <c r="B135" s="9">
        <f>IF(SUM($C$131:$R$131)=0,"n/a",SUM($C$131:$R$131))</f>
        <v/>
      </c>
    </row>
    <row r="138">
      <c r="A138" s="10" t="inlineStr">
        <is>
          <t>Scenario: upside</t>
        </is>
      </c>
    </row>
    <row r="139">
      <c r="A139" t="inlineStr">
        <is>
          <t>param: density</t>
        </is>
      </c>
      <c r="B139">
        <f>mature_sales_density_high</f>
        <v/>
      </c>
    </row>
    <row r="140">
      <c r="A140" t="inlineStr">
        <is>
          <t>param: gm</t>
        </is>
      </c>
      <c r="B140">
        <f>product_gross_margin_high</f>
        <v/>
      </c>
    </row>
    <row r="141">
      <c r="A141" t="inlineStr">
        <is>
          <t>param: rent</t>
        </is>
      </c>
      <c r="B141">
        <f>rent_per_year_low</f>
        <v/>
      </c>
    </row>
    <row r="142">
      <c r="A142" t="inlineStr">
        <is>
          <t>param: capex</t>
        </is>
      </c>
      <c r="B142">
        <f>fitout_capex_low</f>
        <v/>
      </c>
    </row>
    <row r="143">
      <c r="A143" t="inlineStr">
        <is>
          <t>param: ramp1</t>
        </is>
      </c>
      <c r="B143">
        <f>ramp_year1_high</f>
        <v/>
      </c>
    </row>
    <row r="144">
      <c r="A144" t="inlineStr">
        <is>
          <t>param: ramp2</t>
        </is>
      </c>
      <c r="B144">
        <f>ramp_year2_high</f>
        <v/>
      </c>
    </row>
    <row r="145">
      <c r="A145" t="inlineStr">
        <is>
          <t>param: rent_mult</t>
        </is>
      </c>
      <c r="B145" t="n">
        <v>1</v>
      </c>
    </row>
    <row r="146">
      <c r="A146" t="inlineStr">
        <is>
          <t>param: payroll_mult</t>
        </is>
      </c>
      <c r="B146" t="n">
        <v>1</v>
      </c>
    </row>
    <row r="147">
      <c r="A147" t="inlineStr">
        <is>
          <t>param: ramp_mult</t>
        </is>
      </c>
      <c r="B147" t="n">
        <v>1</v>
      </c>
    </row>
    <row r="149">
      <c r="A149" t="inlineStr">
        <is>
          <t>Year</t>
        </is>
      </c>
      <c r="C149" t="n">
        <v>0</v>
      </c>
      <c r="D149" t="n">
        <v>1</v>
      </c>
      <c r="E149" t="n">
        <v>2</v>
      </c>
      <c r="F149" t="n">
        <v>3</v>
      </c>
      <c r="G149" t="n">
        <v>4</v>
      </c>
      <c r="H149" t="n">
        <v>5</v>
      </c>
      <c r="I149" t="n">
        <v>6</v>
      </c>
      <c r="J149" t="n">
        <v>7</v>
      </c>
      <c r="K149" t="n">
        <v>8</v>
      </c>
      <c r="L149" t="n">
        <v>9</v>
      </c>
      <c r="M149" t="n">
        <v>10</v>
      </c>
      <c r="N149" t="n">
        <v>11</v>
      </c>
      <c r="O149" t="n">
        <v>12</v>
      </c>
      <c r="P149" t="n">
        <v>13</v>
      </c>
      <c r="Q149" t="n">
        <v>14</v>
      </c>
      <c r="R149" t="n">
        <v>15</v>
      </c>
    </row>
    <row r="150">
      <c r="A150" t="inlineStr">
        <is>
          <t>Trading year flag</t>
        </is>
      </c>
      <c r="C150">
        <f>IF(AND(C149&gt;=1,C149&lt;=lease_term_years),1,0)</f>
        <v/>
      </c>
      <c r="D150">
        <f>IF(AND(D149&gt;=1,D149&lt;=lease_term_years),1,0)</f>
        <v/>
      </c>
      <c r="E150">
        <f>IF(AND(E149&gt;=1,E149&lt;=lease_term_years),1,0)</f>
        <v/>
      </c>
      <c r="F150">
        <f>IF(AND(F149&gt;=1,F149&lt;=lease_term_years),1,0)</f>
        <v/>
      </c>
      <c r="G150">
        <f>IF(AND(G149&gt;=1,G149&lt;=lease_term_years),1,0)</f>
        <v/>
      </c>
      <c r="H150">
        <f>IF(AND(H149&gt;=1,H149&lt;=lease_term_years),1,0)</f>
        <v/>
      </c>
      <c r="I150">
        <f>IF(AND(I149&gt;=1,I149&lt;=lease_term_years),1,0)</f>
        <v/>
      </c>
      <c r="J150">
        <f>IF(AND(J149&gt;=1,J149&lt;=lease_term_years),1,0)</f>
        <v/>
      </c>
      <c r="K150">
        <f>IF(AND(K149&gt;=1,K149&lt;=lease_term_years),1,0)</f>
        <v/>
      </c>
      <c r="L150">
        <f>IF(AND(L149&gt;=1,L149&lt;=lease_term_years),1,0)</f>
        <v/>
      </c>
      <c r="M150">
        <f>IF(AND(M149&gt;=1,M149&lt;=lease_term_years),1,0)</f>
        <v/>
      </c>
      <c r="N150">
        <f>IF(AND(N149&gt;=1,N149&lt;=lease_term_years),1,0)</f>
        <v/>
      </c>
      <c r="O150">
        <f>IF(AND(O149&gt;=1,O149&lt;=lease_term_years),1,0)</f>
        <v/>
      </c>
      <c r="P150">
        <f>IF(AND(P149&gt;=1,P149&lt;=lease_term_years),1,0)</f>
        <v/>
      </c>
      <c r="Q150">
        <f>IF(AND(Q149&gt;=1,Q149&lt;=lease_term_years),1,0)</f>
        <v/>
      </c>
      <c r="R150">
        <f>IF(AND(R149&gt;=1,R149&lt;=lease_term_years),1,0)</f>
        <v/>
      </c>
    </row>
    <row r="151">
      <c r="A151" t="inlineStr">
        <is>
          <t>Ramp-up (share of mature volume)</t>
        </is>
      </c>
      <c r="C151">
        <f>IF(C149=1,1-(1-$B$143)*$B$147,IF(C149=2,1-(1-$B$144)*$B$147,1))*C150</f>
        <v/>
      </c>
      <c r="D151">
        <f>IF(D149=1,1-(1-$B$143)*$B$147,IF(D149=2,1-(1-$B$144)*$B$147,1))*D150</f>
        <v/>
      </c>
      <c r="E151">
        <f>IF(E149=1,1-(1-$B$143)*$B$147,IF(E149=2,1-(1-$B$144)*$B$147,1))*E150</f>
        <v/>
      </c>
      <c r="F151">
        <f>IF(F149=1,1-(1-$B$143)*$B$147,IF(F149=2,1-(1-$B$144)*$B$147,1))*F150</f>
        <v/>
      </c>
      <c r="G151">
        <f>IF(G149=1,1-(1-$B$143)*$B$147,IF(G149=2,1-(1-$B$144)*$B$147,1))*G150</f>
        <v/>
      </c>
      <c r="H151">
        <f>IF(H149=1,1-(1-$B$143)*$B$147,IF(H149=2,1-(1-$B$144)*$B$147,1))*H150</f>
        <v/>
      </c>
      <c r="I151">
        <f>IF(I149=1,1-(1-$B$143)*$B$147,IF(I149=2,1-(1-$B$144)*$B$147,1))*I150</f>
        <v/>
      </c>
      <c r="J151">
        <f>IF(J149=1,1-(1-$B$143)*$B$147,IF(J149=2,1-(1-$B$144)*$B$147,1))*J150</f>
        <v/>
      </c>
      <c r="K151">
        <f>IF(K149=1,1-(1-$B$143)*$B$147,IF(K149=2,1-(1-$B$144)*$B$147,1))*K150</f>
        <v/>
      </c>
      <c r="L151">
        <f>IF(L149=1,1-(1-$B$143)*$B$147,IF(L149=2,1-(1-$B$144)*$B$147,1))*L150</f>
        <v/>
      </c>
      <c r="M151">
        <f>IF(M149=1,1-(1-$B$143)*$B$147,IF(M149=2,1-(1-$B$144)*$B$147,1))*M150</f>
        <v/>
      </c>
      <c r="N151">
        <f>IF(N149=1,1-(1-$B$143)*$B$147,IF(N149=2,1-(1-$B$144)*$B$147,1))*N150</f>
        <v/>
      </c>
      <c r="O151">
        <f>IF(O149=1,1-(1-$B$143)*$B$147,IF(O149=2,1-(1-$B$144)*$B$147,1))*O150</f>
        <v/>
      </c>
      <c r="P151">
        <f>IF(P149=1,1-(1-$B$143)*$B$147,IF(P149=2,1-(1-$B$144)*$B$147,1))*P150</f>
        <v/>
      </c>
      <c r="Q151">
        <f>IF(Q149=1,1-(1-$B$143)*$B$147,IF(Q149=2,1-(1-$B$144)*$B$147,1))*Q150</f>
        <v/>
      </c>
      <c r="R151">
        <f>IF(R149=1,1-(1-$B$143)*$B$147,IF(R149=2,1-(1-$B$144)*$B$147,1))*R150</f>
        <v/>
      </c>
    </row>
    <row r="152">
      <c r="A152" t="inlineStr">
        <is>
          <t>Sales volume (year-1 prices)</t>
        </is>
      </c>
      <c r="C152">
        <f>area_sqft*$B$139*C151</f>
        <v/>
      </c>
      <c r="D152">
        <f>area_sqft*$B$139*D151</f>
        <v/>
      </c>
      <c r="E152">
        <f>area_sqft*$B$139*E151</f>
        <v/>
      </c>
      <c r="F152">
        <f>area_sqft*$B$139*F151</f>
        <v/>
      </c>
      <c r="G152">
        <f>area_sqft*$B$139*G151</f>
        <v/>
      </c>
      <c r="H152">
        <f>area_sqft*$B$139*H151</f>
        <v/>
      </c>
      <c r="I152">
        <f>area_sqft*$B$139*I151</f>
        <v/>
      </c>
      <c r="J152">
        <f>area_sqft*$B$139*J151</f>
        <v/>
      </c>
      <c r="K152">
        <f>area_sqft*$B$139*K151</f>
        <v/>
      </c>
      <c r="L152">
        <f>area_sqft*$B$139*L151</f>
        <v/>
      </c>
      <c r="M152">
        <f>area_sqft*$B$139*M151</f>
        <v/>
      </c>
      <c r="N152">
        <f>area_sqft*$B$139*N151</f>
        <v/>
      </c>
      <c r="O152">
        <f>area_sqft*$B$139*O151</f>
        <v/>
      </c>
      <c r="P152">
        <f>area_sqft*$B$139*P151</f>
        <v/>
      </c>
      <c r="Q152">
        <f>area_sqft*$B$139*Q151</f>
        <v/>
      </c>
      <c r="R152">
        <f>area_sqft*$B$139*R151</f>
        <v/>
      </c>
    </row>
    <row r="153">
      <c r="A153" t="inlineStr">
        <is>
          <t>Sales growth index</t>
        </is>
      </c>
      <c r="C153">
        <f>IF(C150=1,(1+sales_growth)^(C149-1),0)</f>
        <v/>
      </c>
      <c r="D153">
        <f>IF(D150=1,(1+sales_growth)^(D149-1),0)</f>
        <v/>
      </c>
      <c r="E153">
        <f>IF(E150=1,(1+sales_growth)^(E149-1),0)</f>
        <v/>
      </c>
      <c r="F153">
        <f>IF(F150=1,(1+sales_growth)^(F149-1),0)</f>
        <v/>
      </c>
      <c r="G153">
        <f>IF(G150=1,(1+sales_growth)^(G149-1),0)</f>
        <v/>
      </c>
      <c r="H153">
        <f>IF(H150=1,(1+sales_growth)^(H149-1),0)</f>
        <v/>
      </c>
      <c r="I153">
        <f>IF(I150=1,(1+sales_growth)^(I149-1),0)</f>
        <v/>
      </c>
      <c r="J153">
        <f>IF(J150=1,(1+sales_growth)^(J149-1),0)</f>
        <v/>
      </c>
      <c r="K153">
        <f>IF(K150=1,(1+sales_growth)^(K149-1),0)</f>
        <v/>
      </c>
      <c r="L153">
        <f>IF(L150=1,(1+sales_growth)^(L149-1),0)</f>
        <v/>
      </c>
      <c r="M153">
        <f>IF(M150=1,(1+sales_growth)^(M149-1),0)</f>
        <v/>
      </c>
      <c r="N153">
        <f>IF(N150=1,(1+sales_growth)^(N149-1),0)</f>
        <v/>
      </c>
      <c r="O153">
        <f>IF(O150=1,(1+sales_growth)^(O149-1),0)</f>
        <v/>
      </c>
      <c r="P153">
        <f>IF(P150=1,(1+sales_growth)^(P149-1),0)</f>
        <v/>
      </c>
      <c r="Q153">
        <f>IF(Q150=1,(1+sales_growth)^(Q149-1),0)</f>
        <v/>
      </c>
      <c r="R153">
        <f>IF(R150=1,(1+sales_growth)^(R149-1),0)</f>
        <v/>
      </c>
    </row>
    <row r="154">
      <c r="A154" t="inlineStr">
        <is>
          <t>Sales</t>
        </is>
      </c>
      <c r="C154">
        <f>C152*C153</f>
        <v/>
      </c>
      <c r="D154">
        <f>D152*D153</f>
        <v/>
      </c>
      <c r="E154">
        <f>E152*E153</f>
        <v/>
      </c>
      <c r="F154">
        <f>F152*F153</f>
        <v/>
      </c>
      <c r="G154">
        <f>G152*G153</f>
        <v/>
      </c>
      <c r="H154">
        <f>H152*H153</f>
        <v/>
      </c>
      <c r="I154">
        <f>I152*I153</f>
        <v/>
      </c>
      <c r="J154">
        <f>J152*J153</f>
        <v/>
      </c>
      <c r="K154">
        <f>K152*K153</f>
        <v/>
      </c>
      <c r="L154">
        <f>L152*L153</f>
        <v/>
      </c>
      <c r="M154">
        <f>M152*M153</f>
        <v/>
      </c>
      <c r="N154">
        <f>N152*N153</f>
        <v/>
      </c>
      <c r="O154">
        <f>O152*O153</f>
        <v/>
      </c>
      <c r="P154">
        <f>P152*P153</f>
        <v/>
      </c>
      <c r="Q154">
        <f>Q152*Q153</f>
        <v/>
      </c>
      <c r="R154">
        <f>R152*R153</f>
        <v/>
      </c>
    </row>
    <row r="155">
      <c r="A155" t="inlineStr">
        <is>
          <t>Gross margin</t>
        </is>
      </c>
      <c r="C155">
        <f>C154*$B$140</f>
        <v/>
      </c>
      <c r="D155">
        <f>D154*$B$140</f>
        <v/>
      </c>
      <c r="E155">
        <f>E154*$B$140</f>
        <v/>
      </c>
      <c r="F155">
        <f>F154*$B$140</f>
        <v/>
      </c>
      <c r="G155">
        <f>G154*$B$140</f>
        <v/>
      </c>
      <c r="H155">
        <f>H154*$B$140</f>
        <v/>
      </c>
      <c r="I155">
        <f>I154*$B$140</f>
        <v/>
      </c>
      <c r="J155">
        <f>J154*$B$140</f>
        <v/>
      </c>
      <c r="K155">
        <f>K154*$B$140</f>
        <v/>
      </c>
      <c r="L155">
        <f>L154*$B$140</f>
        <v/>
      </c>
      <c r="M155">
        <f>M154*$B$140</f>
        <v/>
      </c>
      <c r="N155">
        <f>N154*$B$140</f>
        <v/>
      </c>
      <c r="O155">
        <f>O154*$B$140</f>
        <v/>
      </c>
      <c r="P155">
        <f>P154*$B$140</f>
        <v/>
      </c>
      <c r="Q155">
        <f>Q154*$B$140</f>
        <v/>
      </c>
      <c r="R155">
        <f>R154*$B$140</f>
        <v/>
      </c>
    </row>
    <row r="156">
      <c r="A156" t="inlineStr">
        <is>
          <t>Wage index</t>
        </is>
      </c>
      <c r="C156">
        <f>IF(C150=1,(1+wage_inflation)^(C149-1),0)</f>
        <v/>
      </c>
      <c r="D156">
        <f>IF(D150=1,(1+wage_inflation)^(D149-1),0)</f>
        <v/>
      </c>
      <c r="E156">
        <f>IF(E150=1,(1+wage_inflation)^(E149-1),0)</f>
        <v/>
      </c>
      <c r="F156">
        <f>IF(F150=1,(1+wage_inflation)^(F149-1),0)</f>
        <v/>
      </c>
      <c r="G156">
        <f>IF(G150=1,(1+wage_inflation)^(G149-1),0)</f>
        <v/>
      </c>
      <c r="H156">
        <f>IF(H150=1,(1+wage_inflation)^(H149-1),0)</f>
        <v/>
      </c>
      <c r="I156">
        <f>IF(I150=1,(1+wage_inflation)^(I149-1),0)</f>
        <v/>
      </c>
      <c r="J156">
        <f>IF(J150=1,(1+wage_inflation)^(J149-1),0)</f>
        <v/>
      </c>
      <c r="K156">
        <f>IF(K150=1,(1+wage_inflation)^(K149-1),0)</f>
        <v/>
      </c>
      <c r="L156">
        <f>IF(L150=1,(1+wage_inflation)^(L149-1),0)</f>
        <v/>
      </c>
      <c r="M156">
        <f>IF(M150=1,(1+wage_inflation)^(M149-1),0)</f>
        <v/>
      </c>
      <c r="N156">
        <f>IF(N150=1,(1+wage_inflation)^(N149-1),0)</f>
        <v/>
      </c>
      <c r="O156">
        <f>IF(O150=1,(1+wage_inflation)^(O149-1),0)</f>
        <v/>
      </c>
      <c r="P156">
        <f>IF(P150=1,(1+wage_inflation)^(P149-1),0)</f>
        <v/>
      </c>
      <c r="Q156">
        <f>IF(Q150=1,(1+wage_inflation)^(Q149-1),0)</f>
        <v/>
      </c>
      <c r="R156">
        <f>IF(R150=1,(1+wage_inflation)^(R149-1),0)</f>
        <v/>
      </c>
    </row>
    <row r="157">
      <c r="A157" t="inlineStr">
        <is>
          <t>Payroll</t>
        </is>
      </c>
      <c r="C157">
        <f>(fixed_payroll*C150+variable_cost_per_k*C152/1000)*C156*$B$146</f>
        <v/>
      </c>
      <c r="D157">
        <f>(fixed_payroll*D150+variable_cost_per_k*D152/1000)*D156*$B$146</f>
        <v/>
      </c>
      <c r="E157">
        <f>(fixed_payroll*E150+variable_cost_per_k*E152/1000)*E156*$B$146</f>
        <v/>
      </c>
      <c r="F157">
        <f>(fixed_payroll*F150+variable_cost_per_k*F152/1000)*F156*$B$146</f>
        <v/>
      </c>
      <c r="G157">
        <f>(fixed_payroll*G150+variable_cost_per_k*G152/1000)*G156*$B$146</f>
        <v/>
      </c>
      <c r="H157">
        <f>(fixed_payroll*H150+variable_cost_per_k*H152/1000)*H156*$B$146</f>
        <v/>
      </c>
      <c r="I157">
        <f>(fixed_payroll*I150+variable_cost_per_k*I152/1000)*I156*$B$146</f>
        <v/>
      </c>
      <c r="J157">
        <f>(fixed_payroll*J150+variable_cost_per_k*J152/1000)*J156*$B$146</f>
        <v/>
      </c>
      <c r="K157">
        <f>(fixed_payroll*K150+variable_cost_per_k*K152/1000)*K156*$B$146</f>
        <v/>
      </c>
      <c r="L157">
        <f>(fixed_payroll*L150+variable_cost_per_k*L152/1000)*L156*$B$146</f>
        <v/>
      </c>
      <c r="M157">
        <f>(fixed_payroll*M150+variable_cost_per_k*M152/1000)*M156*$B$146</f>
        <v/>
      </c>
      <c r="N157">
        <f>(fixed_payroll*N150+variable_cost_per_k*N152/1000)*N156*$B$146</f>
        <v/>
      </c>
      <c r="O157">
        <f>(fixed_payroll*O150+variable_cost_per_k*O152/1000)*O156*$B$146</f>
        <v/>
      </c>
      <c r="P157">
        <f>(fixed_payroll*P150+variable_cost_per_k*P152/1000)*P156*$B$146</f>
        <v/>
      </c>
      <c r="Q157">
        <f>(fixed_payroll*Q150+variable_cost_per_k*Q152/1000)*Q156*$B$146</f>
        <v/>
      </c>
      <c r="R157">
        <f>(fixed_payroll*R150+variable_cost_per_k*R152/1000)*R156*$B$146</f>
        <v/>
      </c>
    </row>
    <row r="158">
      <c r="A158" t="inlineStr">
        <is>
          <t>Rent</t>
        </is>
      </c>
      <c r="C158">
        <f>$B$141*(1+IF(C149&gt;=6,rent_review_uplift,0))*C150*$B$145</f>
        <v/>
      </c>
      <c r="D158">
        <f>$B$141*(1+IF(D149&gt;=6,rent_review_uplift,0))*D150*$B$145</f>
        <v/>
      </c>
      <c r="E158">
        <f>$B$141*(1+IF(E149&gt;=6,rent_review_uplift,0))*E150*$B$145</f>
        <v/>
      </c>
      <c r="F158">
        <f>$B$141*(1+IF(F149&gt;=6,rent_review_uplift,0))*F150*$B$145</f>
        <v/>
      </c>
      <c r="G158">
        <f>$B$141*(1+IF(G149&gt;=6,rent_review_uplift,0))*G150*$B$145</f>
        <v/>
      </c>
      <c r="H158">
        <f>$B$141*(1+IF(H149&gt;=6,rent_review_uplift,0))*H150*$B$145</f>
        <v/>
      </c>
      <c r="I158">
        <f>$B$141*(1+IF(I149&gt;=6,rent_review_uplift,0))*I150*$B$145</f>
        <v/>
      </c>
      <c r="J158">
        <f>$B$141*(1+IF(J149&gt;=6,rent_review_uplift,0))*J150*$B$145</f>
        <v/>
      </c>
      <c r="K158">
        <f>$B$141*(1+IF(K149&gt;=6,rent_review_uplift,0))*K150*$B$145</f>
        <v/>
      </c>
      <c r="L158">
        <f>$B$141*(1+IF(L149&gt;=6,rent_review_uplift,0))*L150*$B$145</f>
        <v/>
      </c>
      <c r="M158">
        <f>$B$141*(1+IF(M149&gt;=6,rent_review_uplift,0))*M150*$B$145</f>
        <v/>
      </c>
      <c r="N158">
        <f>$B$141*(1+IF(N149&gt;=6,rent_review_uplift,0))*N150*$B$145</f>
        <v/>
      </c>
      <c r="O158">
        <f>$B$141*(1+IF(O149&gt;=6,rent_review_uplift,0))*O150*$B$145</f>
        <v/>
      </c>
      <c r="P158">
        <f>$B$141*(1+IF(P149&gt;=6,rent_review_uplift,0))*P150*$B$145</f>
        <v/>
      </c>
      <c r="Q158">
        <f>$B$141*(1+IF(Q149&gt;=6,rent_review_uplift,0))*Q150*$B$145</f>
        <v/>
      </c>
      <c r="R158">
        <f>$B$141*(1+IF(R149&gt;=6,rent_review_uplift,0))*R150*$B$145</f>
        <v/>
      </c>
    </row>
    <row r="159">
      <c r="A159" t="inlineStr">
        <is>
          <t>Cost index</t>
        </is>
      </c>
      <c r="C159">
        <f>IF(C150=1,(1+cost_inflation)^(C149-1),0)</f>
        <v/>
      </c>
      <c r="D159">
        <f>IF(D150=1,(1+cost_inflation)^(D149-1),0)</f>
        <v/>
      </c>
      <c r="E159">
        <f>IF(E150=1,(1+cost_inflation)^(E149-1),0)</f>
        <v/>
      </c>
      <c r="F159">
        <f>IF(F150=1,(1+cost_inflation)^(F149-1),0)</f>
        <v/>
      </c>
      <c r="G159">
        <f>IF(G150=1,(1+cost_inflation)^(G149-1),0)</f>
        <v/>
      </c>
      <c r="H159">
        <f>IF(H150=1,(1+cost_inflation)^(H149-1),0)</f>
        <v/>
      </c>
      <c r="I159">
        <f>IF(I150=1,(1+cost_inflation)^(I149-1),0)</f>
        <v/>
      </c>
      <c r="J159">
        <f>IF(J150=1,(1+cost_inflation)^(J149-1),0)</f>
        <v/>
      </c>
      <c r="K159">
        <f>IF(K150=1,(1+cost_inflation)^(K149-1),0)</f>
        <v/>
      </c>
      <c r="L159">
        <f>IF(L150=1,(1+cost_inflation)^(L149-1),0)</f>
        <v/>
      </c>
      <c r="M159">
        <f>IF(M150=1,(1+cost_inflation)^(M149-1),0)</f>
        <v/>
      </c>
      <c r="N159">
        <f>IF(N150=1,(1+cost_inflation)^(N149-1),0)</f>
        <v/>
      </c>
      <c r="O159">
        <f>IF(O150=1,(1+cost_inflation)^(O149-1),0)</f>
        <v/>
      </c>
      <c r="P159">
        <f>IF(P150=1,(1+cost_inflation)^(P149-1),0)</f>
        <v/>
      </c>
      <c r="Q159">
        <f>IF(Q150=1,(1+cost_inflation)^(Q149-1),0)</f>
        <v/>
      </c>
      <c r="R159">
        <f>IF(R150=1,(1+cost_inflation)^(R149-1),0)</f>
        <v/>
      </c>
    </row>
    <row r="160">
      <c r="A160" t="inlineStr">
        <is>
          <t>Business rates</t>
        </is>
      </c>
      <c r="C160">
        <f>rateable_value*IF(rateable_value&lt;51000,rates_multiplier_rhl_small,IF(rateable_value&lt;500000,rates_multiplier_rhl_standard,rates_multiplier_high_value))*C159</f>
        <v/>
      </c>
      <c r="D160">
        <f>rateable_value*IF(rateable_value&lt;51000,rates_multiplier_rhl_small,IF(rateable_value&lt;500000,rates_multiplier_rhl_standard,rates_multiplier_high_value))*D159</f>
        <v/>
      </c>
      <c r="E160">
        <f>rateable_value*IF(rateable_value&lt;51000,rates_multiplier_rhl_small,IF(rateable_value&lt;500000,rates_multiplier_rhl_standard,rates_multiplier_high_value))*E159</f>
        <v/>
      </c>
      <c r="F160">
        <f>rateable_value*IF(rateable_value&lt;51000,rates_multiplier_rhl_small,IF(rateable_value&lt;500000,rates_multiplier_rhl_standard,rates_multiplier_high_value))*F159</f>
        <v/>
      </c>
      <c r="G160">
        <f>rateable_value*IF(rateable_value&lt;51000,rates_multiplier_rhl_small,IF(rateable_value&lt;500000,rates_multiplier_rhl_standard,rates_multiplier_high_value))*G159</f>
        <v/>
      </c>
      <c r="H160">
        <f>rateable_value*IF(rateable_value&lt;51000,rates_multiplier_rhl_small,IF(rateable_value&lt;500000,rates_multiplier_rhl_standard,rates_multiplier_high_value))*H159</f>
        <v/>
      </c>
      <c r="I160">
        <f>rateable_value*IF(rateable_value&lt;51000,rates_multiplier_rhl_small,IF(rateable_value&lt;500000,rates_multiplier_rhl_standard,rates_multiplier_high_value))*I159</f>
        <v/>
      </c>
      <c r="J160">
        <f>rateable_value*IF(rateable_value&lt;51000,rates_multiplier_rhl_small,IF(rateable_value&lt;500000,rates_multiplier_rhl_standard,rates_multiplier_high_value))*J159</f>
        <v/>
      </c>
      <c r="K160">
        <f>rateable_value*IF(rateable_value&lt;51000,rates_multiplier_rhl_small,IF(rateable_value&lt;500000,rates_multiplier_rhl_standard,rates_multiplier_high_value))*K159</f>
        <v/>
      </c>
      <c r="L160">
        <f>rateable_value*IF(rateable_value&lt;51000,rates_multiplier_rhl_small,IF(rateable_value&lt;500000,rates_multiplier_rhl_standard,rates_multiplier_high_value))*L159</f>
        <v/>
      </c>
      <c r="M160">
        <f>rateable_value*IF(rateable_value&lt;51000,rates_multiplier_rhl_small,IF(rateable_value&lt;500000,rates_multiplier_rhl_standard,rates_multiplier_high_value))*M159</f>
        <v/>
      </c>
      <c r="N160">
        <f>rateable_value*IF(rateable_value&lt;51000,rates_multiplier_rhl_small,IF(rateable_value&lt;500000,rates_multiplier_rhl_standard,rates_multiplier_high_value))*N159</f>
        <v/>
      </c>
      <c r="O160">
        <f>rateable_value*IF(rateable_value&lt;51000,rates_multiplier_rhl_small,IF(rateable_value&lt;500000,rates_multiplier_rhl_standard,rates_multiplier_high_value))*O159</f>
        <v/>
      </c>
      <c r="P160">
        <f>rateable_value*IF(rateable_value&lt;51000,rates_multiplier_rhl_small,IF(rateable_value&lt;500000,rates_multiplier_rhl_standard,rates_multiplier_high_value))*P159</f>
        <v/>
      </c>
      <c r="Q160">
        <f>rateable_value*IF(rateable_value&lt;51000,rates_multiplier_rhl_small,IF(rateable_value&lt;500000,rates_multiplier_rhl_standard,rates_multiplier_high_value))*Q159</f>
        <v/>
      </c>
      <c r="R160">
        <f>rateable_value*IF(rateable_value&lt;51000,rates_multiplier_rhl_small,IF(rateable_value&lt;500000,rates_multiplier_rhl_standard,rates_multiplier_high_value))*R159</f>
        <v/>
      </c>
    </row>
    <row r="161">
      <c r="A161" t="inlineStr">
        <is>
          <t>Service charge, utilities, insurance</t>
        </is>
      </c>
      <c r="C161">
        <f>occupancy_other_psf*area_sqft*C159</f>
        <v/>
      </c>
      <c r="D161">
        <f>occupancy_other_psf*area_sqft*D159</f>
        <v/>
      </c>
      <c r="E161">
        <f>occupancy_other_psf*area_sqft*E159</f>
        <v/>
      </c>
      <c r="F161">
        <f>occupancy_other_psf*area_sqft*F159</f>
        <v/>
      </c>
      <c r="G161">
        <f>occupancy_other_psf*area_sqft*G159</f>
        <v/>
      </c>
      <c r="H161">
        <f>occupancy_other_psf*area_sqft*H159</f>
        <v/>
      </c>
      <c r="I161">
        <f>occupancy_other_psf*area_sqft*I159</f>
        <v/>
      </c>
      <c r="J161">
        <f>occupancy_other_psf*area_sqft*J159</f>
        <v/>
      </c>
      <c r="K161">
        <f>occupancy_other_psf*area_sqft*K159</f>
        <v/>
      </c>
      <c r="L161">
        <f>occupancy_other_psf*area_sqft*L159</f>
        <v/>
      </c>
      <c r="M161">
        <f>occupancy_other_psf*area_sqft*M159</f>
        <v/>
      </c>
      <c r="N161">
        <f>occupancy_other_psf*area_sqft*N159</f>
        <v/>
      </c>
      <c r="O161">
        <f>occupancy_other_psf*area_sqft*O159</f>
        <v/>
      </c>
      <c r="P161">
        <f>occupancy_other_psf*area_sqft*P159</f>
        <v/>
      </c>
      <c r="Q161">
        <f>occupancy_other_psf*area_sqft*Q159</f>
        <v/>
      </c>
      <c r="R161">
        <f>occupancy_other_psf*area_sqft*R159</f>
        <v/>
      </c>
    </row>
    <row r="162">
      <c r="A162" t="inlineStr">
        <is>
          <t>Other store opex</t>
        </is>
      </c>
      <c r="C162">
        <f>C154*other_opex_pct_sales</f>
        <v/>
      </c>
      <c r="D162">
        <f>D154*other_opex_pct_sales</f>
        <v/>
      </c>
      <c r="E162">
        <f>E154*other_opex_pct_sales</f>
        <v/>
      </c>
      <c r="F162">
        <f>F154*other_opex_pct_sales</f>
        <v/>
      </c>
      <c r="G162">
        <f>G154*other_opex_pct_sales</f>
        <v/>
      </c>
      <c r="H162">
        <f>H154*other_opex_pct_sales</f>
        <v/>
      </c>
      <c r="I162">
        <f>I154*other_opex_pct_sales</f>
        <v/>
      </c>
      <c r="J162">
        <f>J154*other_opex_pct_sales</f>
        <v/>
      </c>
      <c r="K162">
        <f>K154*other_opex_pct_sales</f>
        <v/>
      </c>
      <c r="L162">
        <f>L154*other_opex_pct_sales</f>
        <v/>
      </c>
      <c r="M162">
        <f>M154*other_opex_pct_sales</f>
        <v/>
      </c>
      <c r="N162">
        <f>N154*other_opex_pct_sales</f>
        <v/>
      </c>
      <c r="O162">
        <f>O154*other_opex_pct_sales</f>
        <v/>
      </c>
      <c r="P162">
        <f>P154*other_opex_pct_sales</f>
        <v/>
      </c>
      <c r="Q162">
        <f>Q154*other_opex_pct_sales</f>
        <v/>
      </c>
      <c r="R162">
        <f>R154*other_opex_pct_sales</f>
        <v/>
      </c>
    </row>
    <row r="163">
      <c r="A163" t="inlineStr">
        <is>
          <t>Store EBITDA (4-wall)</t>
        </is>
      </c>
      <c r="C163">
        <f>C155-C157-C158-C160-C161-C162</f>
        <v/>
      </c>
      <c r="D163">
        <f>D155-D157-D158-D160-D161-D162</f>
        <v/>
      </c>
      <c r="E163">
        <f>E155-E157-E158-E160-E161-E162</f>
        <v/>
      </c>
      <c r="F163">
        <f>F155-F157-F158-F160-F161-F162</f>
        <v/>
      </c>
      <c r="G163">
        <f>G155-G157-G158-G160-G161-G162</f>
        <v/>
      </c>
      <c r="H163">
        <f>H155-H157-H158-H160-H161-H162</f>
        <v/>
      </c>
      <c r="I163">
        <f>I155-I157-I158-I160-I161-I162</f>
        <v/>
      </c>
      <c r="J163">
        <f>J155-J157-J158-J160-J161-J162</f>
        <v/>
      </c>
      <c r="K163">
        <f>K155-K157-K158-K160-K161-K162</f>
        <v/>
      </c>
      <c r="L163">
        <f>L155-L157-L158-L160-L161-L162</f>
        <v/>
      </c>
      <c r="M163">
        <f>M155-M157-M158-M160-M161-M162</f>
        <v/>
      </c>
      <c r="N163">
        <f>N155-N157-N158-N160-N161-N162</f>
        <v/>
      </c>
      <c r="O163">
        <f>O155-O157-O158-O160-O161-O162</f>
        <v/>
      </c>
      <c r="P163">
        <f>P155-P157-P158-P160-P161-P162</f>
        <v/>
      </c>
      <c r="Q163">
        <f>Q155-Q157-Q158-Q160-Q161-Q162</f>
        <v/>
      </c>
      <c r="R163">
        <f>R155-R157-R158-R160-R161-R162</f>
        <v/>
      </c>
    </row>
    <row r="164">
      <c r="A164" t="inlineStr">
        <is>
          <t>Pre-opening costs</t>
        </is>
      </c>
      <c r="C164">
        <f>IF(C149=0,pre_opening_costs,0)</f>
        <v/>
      </c>
      <c r="D164">
        <f>IF(D149=0,pre_opening_costs,0)</f>
        <v/>
      </c>
      <c r="E164">
        <f>IF(E149=0,pre_opening_costs,0)</f>
        <v/>
      </c>
      <c r="F164">
        <f>IF(F149=0,pre_opening_costs,0)</f>
        <v/>
      </c>
      <c r="G164">
        <f>IF(G149=0,pre_opening_costs,0)</f>
        <v/>
      </c>
      <c r="H164">
        <f>IF(H149=0,pre_opening_costs,0)</f>
        <v/>
      </c>
      <c r="I164">
        <f>IF(I149=0,pre_opening_costs,0)</f>
        <v/>
      </c>
      <c r="J164">
        <f>IF(J149=0,pre_opening_costs,0)</f>
        <v/>
      </c>
      <c r="K164">
        <f>IF(K149=0,pre_opening_costs,0)</f>
        <v/>
      </c>
      <c r="L164">
        <f>IF(L149=0,pre_opening_costs,0)</f>
        <v/>
      </c>
      <c r="M164">
        <f>IF(M149=0,pre_opening_costs,0)</f>
        <v/>
      </c>
      <c r="N164">
        <f>IF(N149=0,pre_opening_costs,0)</f>
        <v/>
      </c>
      <c r="O164">
        <f>IF(O149=0,pre_opening_costs,0)</f>
        <v/>
      </c>
      <c r="P164">
        <f>IF(P149=0,pre_opening_costs,0)</f>
        <v/>
      </c>
      <c r="Q164">
        <f>IF(Q149=0,pre_opening_costs,0)</f>
        <v/>
      </c>
      <c r="R164">
        <f>IF(R149=0,pre_opening_costs,0)</f>
        <v/>
      </c>
    </row>
    <row r="165">
      <c r="A165" t="inlineStr">
        <is>
          <t>Fit-out capex</t>
        </is>
      </c>
      <c r="C165">
        <f>IF(C149=0,$B$142,0)</f>
        <v/>
      </c>
      <c r="D165">
        <f>IF(D149=0,$B$142,0)</f>
        <v/>
      </c>
      <c r="E165">
        <f>IF(E149=0,$B$142,0)</f>
        <v/>
      </c>
      <c r="F165">
        <f>IF(F149=0,$B$142,0)</f>
        <v/>
      </c>
      <c r="G165">
        <f>IF(G149=0,$B$142,0)</f>
        <v/>
      </c>
      <c r="H165">
        <f>IF(H149=0,$B$142,0)</f>
        <v/>
      </c>
      <c r="I165">
        <f>IF(I149=0,$B$142,0)</f>
        <v/>
      </c>
      <c r="J165">
        <f>IF(J149=0,$B$142,0)</f>
        <v/>
      </c>
      <c r="K165">
        <f>IF(K149=0,$B$142,0)</f>
        <v/>
      </c>
      <c r="L165">
        <f>IF(L149=0,$B$142,0)</f>
        <v/>
      </c>
      <c r="M165">
        <f>IF(M149=0,$B$142,0)</f>
        <v/>
      </c>
      <c r="N165">
        <f>IF(N149=0,$B$142,0)</f>
        <v/>
      </c>
      <c r="O165">
        <f>IF(O149=0,$B$142,0)</f>
        <v/>
      </c>
      <c r="P165">
        <f>IF(P149=0,$B$142,0)</f>
        <v/>
      </c>
      <c r="Q165">
        <f>IF(Q149=0,$B$142,0)</f>
        <v/>
      </c>
      <c r="R165">
        <f>IF(R149=0,$B$142,0)</f>
        <v/>
      </c>
    </row>
    <row r="166">
      <c r="A166" t="inlineStr">
        <is>
          <t>Tax depreciation</t>
        </is>
      </c>
      <c r="C166">
        <f>IF(AND(C149&gt;=1,C149&lt;=tax_depreciation_years,C149&lt;=lease_term_years),$B$142/tax_depreciation_years,0)</f>
        <v/>
      </c>
      <c r="D166">
        <f>IF(AND(D149&gt;=1,D149&lt;=tax_depreciation_years,D149&lt;=lease_term_years),$B$142/tax_depreciation_years,0)</f>
        <v/>
      </c>
      <c r="E166">
        <f>IF(AND(E149&gt;=1,E149&lt;=tax_depreciation_years,E149&lt;=lease_term_years),$B$142/tax_depreciation_years,0)</f>
        <v/>
      </c>
      <c r="F166">
        <f>IF(AND(F149&gt;=1,F149&lt;=tax_depreciation_years,F149&lt;=lease_term_years),$B$142/tax_depreciation_years,0)</f>
        <v/>
      </c>
      <c r="G166">
        <f>IF(AND(G149&gt;=1,G149&lt;=tax_depreciation_years,G149&lt;=lease_term_years),$B$142/tax_depreciation_years,0)</f>
        <v/>
      </c>
      <c r="H166">
        <f>IF(AND(H149&gt;=1,H149&lt;=tax_depreciation_years,H149&lt;=lease_term_years),$B$142/tax_depreciation_years,0)</f>
        <v/>
      </c>
      <c r="I166">
        <f>IF(AND(I149&gt;=1,I149&lt;=tax_depreciation_years,I149&lt;=lease_term_years),$B$142/tax_depreciation_years,0)</f>
        <v/>
      </c>
      <c r="J166">
        <f>IF(AND(J149&gt;=1,J149&lt;=tax_depreciation_years,J149&lt;=lease_term_years),$B$142/tax_depreciation_years,0)</f>
        <v/>
      </c>
      <c r="K166">
        <f>IF(AND(K149&gt;=1,K149&lt;=tax_depreciation_years,K149&lt;=lease_term_years),$B$142/tax_depreciation_years,0)</f>
        <v/>
      </c>
      <c r="L166">
        <f>IF(AND(L149&gt;=1,L149&lt;=tax_depreciation_years,L149&lt;=lease_term_years),$B$142/tax_depreciation_years,0)</f>
        <v/>
      </c>
      <c r="M166">
        <f>IF(AND(M149&gt;=1,M149&lt;=tax_depreciation_years,M149&lt;=lease_term_years),$B$142/tax_depreciation_years,0)</f>
        <v/>
      </c>
      <c r="N166">
        <f>IF(AND(N149&gt;=1,N149&lt;=tax_depreciation_years,N149&lt;=lease_term_years),$B$142/tax_depreciation_years,0)</f>
        <v/>
      </c>
      <c r="O166">
        <f>IF(AND(O149&gt;=1,O149&lt;=tax_depreciation_years,O149&lt;=lease_term_years),$B$142/tax_depreciation_years,0)</f>
        <v/>
      </c>
      <c r="P166">
        <f>IF(AND(P149&gt;=1,P149&lt;=tax_depreciation_years,P149&lt;=lease_term_years),$B$142/tax_depreciation_years,0)</f>
        <v/>
      </c>
      <c r="Q166">
        <f>IF(AND(Q149&gt;=1,Q149&lt;=tax_depreciation_years,Q149&lt;=lease_term_years),$B$142/tax_depreciation_years,0)</f>
        <v/>
      </c>
      <c r="R166">
        <f>IF(AND(R149&gt;=1,R149&lt;=tax_depreciation_years,R149&lt;=lease_term_years),$B$142/tax_depreciation_years,0)</f>
        <v/>
      </c>
    </row>
    <row r="167">
      <c r="A167" t="inlineStr">
        <is>
          <t>Dilapidations</t>
        </is>
      </c>
      <c r="C167">
        <f>IF(C149=lease_term_years,dilapidations_at_exit,0)</f>
        <v/>
      </c>
      <c r="D167">
        <f>IF(D149=lease_term_years,dilapidations_at_exit,0)</f>
        <v/>
      </c>
      <c r="E167">
        <f>IF(E149=lease_term_years,dilapidations_at_exit,0)</f>
        <v/>
      </c>
      <c r="F167">
        <f>IF(F149=lease_term_years,dilapidations_at_exit,0)</f>
        <v/>
      </c>
      <c r="G167">
        <f>IF(G149=lease_term_years,dilapidations_at_exit,0)</f>
        <v/>
      </c>
      <c r="H167">
        <f>IF(H149=lease_term_years,dilapidations_at_exit,0)</f>
        <v/>
      </c>
      <c r="I167">
        <f>IF(I149=lease_term_years,dilapidations_at_exit,0)</f>
        <v/>
      </c>
      <c r="J167">
        <f>IF(J149=lease_term_years,dilapidations_at_exit,0)</f>
        <v/>
      </c>
      <c r="K167">
        <f>IF(K149=lease_term_years,dilapidations_at_exit,0)</f>
        <v/>
      </c>
      <c r="L167">
        <f>IF(L149=lease_term_years,dilapidations_at_exit,0)</f>
        <v/>
      </c>
      <c r="M167">
        <f>IF(M149=lease_term_years,dilapidations_at_exit,0)</f>
        <v/>
      </c>
      <c r="N167">
        <f>IF(N149=lease_term_years,dilapidations_at_exit,0)</f>
        <v/>
      </c>
      <c r="O167">
        <f>IF(O149=lease_term_years,dilapidations_at_exit,0)</f>
        <v/>
      </c>
      <c r="P167">
        <f>IF(P149=lease_term_years,dilapidations_at_exit,0)</f>
        <v/>
      </c>
      <c r="Q167">
        <f>IF(Q149=lease_term_years,dilapidations_at_exit,0)</f>
        <v/>
      </c>
      <c r="R167">
        <f>IF(R149=lease_term_years,dilapidations_at_exit,0)</f>
        <v/>
      </c>
    </row>
    <row r="168">
      <c r="A168" t="inlineStr">
        <is>
          <t>Taxable profit</t>
        </is>
      </c>
      <c r="C168">
        <f>C163-C164-C166-C167</f>
        <v/>
      </c>
      <c r="D168">
        <f>D163-D164-D166-D167</f>
        <v/>
      </c>
      <c r="E168">
        <f>E163-E164-E166-E167</f>
        <v/>
      </c>
      <c r="F168">
        <f>F163-F164-F166-F167</f>
        <v/>
      </c>
      <c r="G168">
        <f>G163-G164-G166-G167</f>
        <v/>
      </c>
      <c r="H168">
        <f>H163-H164-H166-H167</f>
        <v/>
      </c>
      <c r="I168">
        <f>I163-I164-I166-I167</f>
        <v/>
      </c>
      <c r="J168">
        <f>J163-J164-J166-J167</f>
        <v/>
      </c>
      <c r="K168">
        <f>K163-K164-K166-K167</f>
        <v/>
      </c>
      <c r="L168">
        <f>L163-L164-L166-L167</f>
        <v/>
      </c>
      <c r="M168">
        <f>M163-M164-M166-M167</f>
        <v/>
      </c>
      <c r="N168">
        <f>N163-N164-N166-N167</f>
        <v/>
      </c>
      <c r="O168">
        <f>O163-O164-O166-O167</f>
        <v/>
      </c>
      <c r="P168">
        <f>P163-P164-P166-P167</f>
        <v/>
      </c>
      <c r="Q168">
        <f>Q163-Q164-Q166-Q167</f>
        <v/>
      </c>
      <c r="R168">
        <f>R163-R164-R166-R167</f>
        <v/>
      </c>
    </row>
    <row r="169">
      <c r="A169" t="inlineStr">
        <is>
          <t>Tax (negative = group relief)</t>
        </is>
      </c>
      <c r="C169">
        <f>C168*tax_rate</f>
        <v/>
      </c>
      <c r="D169">
        <f>D168*tax_rate</f>
        <v/>
      </c>
      <c r="E169">
        <f>E168*tax_rate</f>
        <v/>
      </c>
      <c r="F169">
        <f>F168*tax_rate</f>
        <v/>
      </c>
      <c r="G169">
        <f>G168*tax_rate</f>
        <v/>
      </c>
      <c r="H169">
        <f>H168*tax_rate</f>
        <v/>
      </c>
      <c r="I169">
        <f>I168*tax_rate</f>
        <v/>
      </c>
      <c r="J169">
        <f>J168*tax_rate</f>
        <v/>
      </c>
      <c r="K169">
        <f>K168*tax_rate</f>
        <v/>
      </c>
      <c r="L169">
        <f>L168*tax_rate</f>
        <v/>
      </c>
      <c r="M169">
        <f>M168*tax_rate</f>
        <v/>
      </c>
      <c r="N169">
        <f>N168*tax_rate</f>
        <v/>
      </c>
      <c r="O169">
        <f>O168*tax_rate</f>
        <v/>
      </c>
      <c r="P169">
        <f>P168*tax_rate</f>
        <v/>
      </c>
      <c r="Q169">
        <f>Q168*tax_rate</f>
        <v/>
      </c>
      <c r="R169">
        <f>R168*tax_rate</f>
        <v/>
      </c>
    </row>
    <row r="170">
      <c r="A170" t="inlineStr">
        <is>
          <t>Stock held</t>
        </is>
      </c>
      <c r="C170">
        <f>IF(C149&lt;lease_term_years,stock_pct_sales*D154,0)</f>
        <v/>
      </c>
      <c r="D170">
        <f>IF(D149&lt;lease_term_years,stock_pct_sales*E154,0)</f>
        <v/>
      </c>
      <c r="E170">
        <f>IF(E149&lt;lease_term_years,stock_pct_sales*F154,0)</f>
        <v/>
      </c>
      <c r="F170">
        <f>IF(F149&lt;lease_term_years,stock_pct_sales*G154,0)</f>
        <v/>
      </c>
      <c r="G170">
        <f>IF(G149&lt;lease_term_years,stock_pct_sales*H154,0)</f>
        <v/>
      </c>
      <c r="H170">
        <f>IF(H149&lt;lease_term_years,stock_pct_sales*I154,0)</f>
        <v/>
      </c>
      <c r="I170">
        <f>IF(I149&lt;lease_term_years,stock_pct_sales*J154,0)</f>
        <v/>
      </c>
      <c r="J170">
        <f>IF(J149&lt;lease_term_years,stock_pct_sales*K154,0)</f>
        <v/>
      </c>
      <c r="K170">
        <f>IF(K149&lt;lease_term_years,stock_pct_sales*L154,0)</f>
        <v/>
      </c>
      <c r="L170">
        <f>IF(L149&lt;lease_term_years,stock_pct_sales*M154,0)</f>
        <v/>
      </c>
      <c r="M170">
        <f>IF(M149&lt;lease_term_years,stock_pct_sales*N154,0)</f>
        <v/>
      </c>
      <c r="N170">
        <f>IF(N149&lt;lease_term_years,stock_pct_sales*O154,0)</f>
        <v/>
      </c>
      <c r="O170">
        <f>IF(O149&lt;lease_term_years,stock_pct_sales*P154,0)</f>
        <v/>
      </c>
      <c r="P170">
        <f>IF(P149&lt;lease_term_years,stock_pct_sales*Q154,0)</f>
        <v/>
      </c>
      <c r="Q170">
        <f>IF(Q149&lt;lease_term_years,stock_pct_sales*R154,0)</f>
        <v/>
      </c>
      <c r="R170">
        <f>0</f>
        <v/>
      </c>
    </row>
    <row r="171">
      <c r="A171" t="inlineStr">
        <is>
          <t>Change in stock</t>
        </is>
      </c>
      <c r="C171">
        <f>C170</f>
        <v/>
      </c>
      <c r="D171">
        <f>D170-C170</f>
        <v/>
      </c>
      <c r="E171">
        <f>E170-D170</f>
        <v/>
      </c>
      <c r="F171">
        <f>F170-E170</f>
        <v/>
      </c>
      <c r="G171">
        <f>G170-F170</f>
        <v/>
      </c>
      <c r="H171">
        <f>H170-G170</f>
        <v/>
      </c>
      <c r="I171">
        <f>I170-H170</f>
        <v/>
      </c>
      <c r="J171">
        <f>J170-I170</f>
        <v/>
      </c>
      <c r="K171">
        <f>K170-J170</f>
        <v/>
      </c>
      <c r="L171">
        <f>L170-K170</f>
        <v/>
      </c>
      <c r="M171">
        <f>M170-L170</f>
        <v/>
      </c>
      <c r="N171">
        <f>N170-M170</f>
        <v/>
      </c>
      <c r="O171">
        <f>O170-N170</f>
        <v/>
      </c>
      <c r="P171">
        <f>P170-O170</f>
        <v/>
      </c>
      <c r="Q171">
        <f>Q170-P170</f>
        <v/>
      </c>
      <c r="R171">
        <f>R170-Q170</f>
        <v/>
      </c>
    </row>
    <row r="172">
      <c r="A172" t="inlineStr">
        <is>
          <t>Free cash flow</t>
        </is>
      </c>
      <c r="C172">
        <f>C163-C164-C169-C165-C171-C167</f>
        <v/>
      </c>
      <c r="D172">
        <f>D163-D164-D169-D165-D171-D167</f>
        <v/>
      </c>
      <c r="E172">
        <f>E163-E164-E169-E165-E171-E167</f>
        <v/>
      </c>
      <c r="F172">
        <f>F163-F164-F169-F165-F171-F167</f>
        <v/>
      </c>
      <c r="G172">
        <f>G163-G164-G169-G165-G171-G167</f>
        <v/>
      </c>
      <c r="H172">
        <f>H163-H164-H169-H165-H171-H167</f>
        <v/>
      </c>
      <c r="I172">
        <f>I163-I164-I169-I165-I171-I167</f>
        <v/>
      </c>
      <c r="J172">
        <f>J163-J164-J169-J165-J171-J167</f>
        <v/>
      </c>
      <c r="K172">
        <f>K163-K164-K169-K165-K171-K167</f>
        <v/>
      </c>
      <c r="L172">
        <f>L163-L164-L169-L165-L171-L167</f>
        <v/>
      </c>
      <c r="M172">
        <f>M163-M164-M169-M165-M171-M167</f>
        <v/>
      </c>
      <c r="N172">
        <f>N163-N164-N169-N165-N171-N167</f>
        <v/>
      </c>
      <c r="O172">
        <f>O163-O164-O169-O165-O171-O167</f>
        <v/>
      </c>
      <c r="P172">
        <f>P163-P164-P169-P165-P171-P167</f>
        <v/>
      </c>
      <c r="Q172">
        <f>Q163-Q164-Q169-Q165-Q171-Q167</f>
        <v/>
      </c>
      <c r="R172">
        <f>R163-R164-R169-R165-R171-R167</f>
        <v/>
      </c>
    </row>
    <row r="173">
      <c r="A173" t="inlineStr">
        <is>
          <t>Discount factor</t>
        </is>
      </c>
      <c r="C173">
        <f>1/(1+discount_rate)^C149</f>
        <v/>
      </c>
      <c r="D173">
        <f>1/(1+discount_rate)^D149</f>
        <v/>
      </c>
      <c r="E173">
        <f>1/(1+discount_rate)^E149</f>
        <v/>
      </c>
      <c r="F173">
        <f>1/(1+discount_rate)^F149</f>
        <v/>
      </c>
      <c r="G173">
        <f>1/(1+discount_rate)^G149</f>
        <v/>
      </c>
      <c r="H173">
        <f>1/(1+discount_rate)^H149</f>
        <v/>
      </c>
      <c r="I173">
        <f>1/(1+discount_rate)^I149</f>
        <v/>
      </c>
      <c r="J173">
        <f>1/(1+discount_rate)^J149</f>
        <v/>
      </c>
      <c r="K173">
        <f>1/(1+discount_rate)^K149</f>
        <v/>
      </c>
      <c r="L173">
        <f>1/(1+discount_rate)^L149</f>
        <v/>
      </c>
      <c r="M173">
        <f>1/(1+discount_rate)^M149</f>
        <v/>
      </c>
      <c r="N173">
        <f>1/(1+discount_rate)^N149</f>
        <v/>
      </c>
      <c r="O173">
        <f>1/(1+discount_rate)^O149</f>
        <v/>
      </c>
      <c r="P173">
        <f>1/(1+discount_rate)^P149</f>
        <v/>
      </c>
      <c r="Q173">
        <f>1/(1+discount_rate)^Q149</f>
        <v/>
      </c>
      <c r="R173">
        <f>1/(1+discount_rate)^R149</f>
        <v/>
      </c>
    </row>
    <row r="174">
      <c r="A174" t="inlineStr">
        <is>
          <t>Present value</t>
        </is>
      </c>
      <c r="C174">
        <f>C172*C173</f>
        <v/>
      </c>
      <c r="D174">
        <f>D172*D173</f>
        <v/>
      </c>
      <c r="E174">
        <f>E172*E173</f>
        <v/>
      </c>
      <c r="F174">
        <f>F172*F173</f>
        <v/>
      </c>
      <c r="G174">
        <f>G172*G173</f>
        <v/>
      </c>
      <c r="H174">
        <f>H172*H173</f>
        <v/>
      </c>
      <c r="I174">
        <f>I172*I173</f>
        <v/>
      </c>
      <c r="J174">
        <f>J172*J173</f>
        <v/>
      </c>
      <c r="K174">
        <f>K172*K173</f>
        <v/>
      </c>
      <c r="L174">
        <f>L172*L173</f>
        <v/>
      </c>
      <c r="M174">
        <f>M172*M173</f>
        <v/>
      </c>
      <c r="N174">
        <f>N172*N173</f>
        <v/>
      </c>
      <c r="O174">
        <f>O172*O173</f>
        <v/>
      </c>
      <c r="P174">
        <f>P172*P173</f>
        <v/>
      </c>
      <c r="Q174">
        <f>Q172*Q173</f>
        <v/>
      </c>
      <c r="R174">
        <f>R172*R173</f>
        <v/>
      </c>
    </row>
    <row r="175">
      <c r="A175" t="inlineStr">
        <is>
          <t>Cumulative cash flow</t>
        </is>
      </c>
      <c r="C175">
        <f>C172</f>
        <v/>
      </c>
      <c r="D175">
        <f>C175+D172</f>
        <v/>
      </c>
      <c r="E175">
        <f>D175+E172</f>
        <v/>
      </c>
      <c r="F175">
        <f>E175+F172</f>
        <v/>
      </c>
      <c r="G175">
        <f>F175+G172</f>
        <v/>
      </c>
      <c r="H175">
        <f>G175+H172</f>
        <v/>
      </c>
      <c r="I175">
        <f>H175+I172</f>
        <v/>
      </c>
      <c r="J175">
        <f>I175+J172</f>
        <v/>
      </c>
      <c r="K175">
        <f>J175+K172</f>
        <v/>
      </c>
      <c r="L175">
        <f>K175+L172</f>
        <v/>
      </c>
      <c r="M175">
        <f>L175+M172</f>
        <v/>
      </c>
      <c r="N175">
        <f>M175+N172</f>
        <v/>
      </c>
      <c r="O175">
        <f>N175+O172</f>
        <v/>
      </c>
      <c r="P175">
        <f>O175+P172</f>
        <v/>
      </c>
      <c r="Q175">
        <f>P175+Q172</f>
        <v/>
      </c>
      <c r="R175">
        <f>Q175+R172</f>
        <v/>
      </c>
    </row>
    <row r="176">
      <c r="A176" t="inlineStr">
        <is>
          <t>Payback helper (months)</t>
        </is>
      </c>
      <c r="C176">
        <f>0</f>
        <v/>
      </c>
      <c r="D176">
        <f>IF(AND(C175&lt;0,D175&gt;=0),(D149-1+(-C175)/D172)*12,0)</f>
        <v/>
      </c>
      <c r="E176">
        <f>IF(AND(D175&lt;0,E175&gt;=0),(E149-1+(-D175)/E172)*12,0)</f>
        <v/>
      </c>
      <c r="F176">
        <f>IF(AND(E175&lt;0,F175&gt;=0),(F149-1+(-E175)/F172)*12,0)</f>
        <v/>
      </c>
      <c r="G176">
        <f>IF(AND(F175&lt;0,G175&gt;=0),(G149-1+(-F175)/G172)*12,0)</f>
        <v/>
      </c>
      <c r="H176">
        <f>IF(AND(G175&lt;0,H175&gt;=0),(H149-1+(-G175)/H172)*12,0)</f>
        <v/>
      </c>
      <c r="I176">
        <f>IF(AND(H175&lt;0,I175&gt;=0),(I149-1+(-H175)/I172)*12,0)</f>
        <v/>
      </c>
      <c r="J176">
        <f>IF(AND(I175&lt;0,J175&gt;=0),(J149-1+(-I175)/J172)*12,0)</f>
        <v/>
      </c>
      <c r="K176">
        <f>IF(AND(J175&lt;0,K175&gt;=0),(K149-1+(-J175)/K172)*12,0)</f>
        <v/>
      </c>
      <c r="L176">
        <f>IF(AND(K175&lt;0,L175&gt;=0),(L149-1+(-K175)/L172)*12,0)</f>
        <v/>
      </c>
      <c r="M176">
        <f>IF(AND(L175&lt;0,M175&gt;=0),(M149-1+(-L175)/M172)*12,0)</f>
        <v/>
      </c>
      <c r="N176">
        <f>IF(AND(M175&lt;0,N175&gt;=0),(N149-1+(-M175)/N172)*12,0)</f>
        <v/>
      </c>
      <c r="O176">
        <f>IF(AND(N175&lt;0,O175&gt;=0),(O149-1+(-N175)/O172)*12,0)</f>
        <v/>
      </c>
      <c r="P176">
        <f>IF(AND(O175&lt;0,P175&gt;=0),(P149-1+(-O175)/P172)*12,0)</f>
        <v/>
      </c>
      <c r="Q176">
        <f>IF(AND(P175&lt;0,Q175&gt;=0),(Q149-1+(-P175)/Q172)*12,0)</f>
        <v/>
      </c>
      <c r="R176">
        <f>IF(AND(Q175&lt;0,R175&gt;=0),(R149-1+(-Q175)/R172)*12,0)</f>
        <v/>
      </c>
    </row>
    <row r="178">
      <c r="A178" s="10" t="inlineStr">
        <is>
          <t>npv</t>
        </is>
      </c>
      <c r="B178" s="8">
        <f>SUM($C$174:$R$174)</f>
        <v/>
      </c>
    </row>
    <row r="179">
      <c r="A179" s="10" t="inlineStr">
        <is>
          <t>irr</t>
        </is>
      </c>
      <c r="B179" s="6">
        <f>IRR($C$172:$R$172)</f>
        <v/>
      </c>
    </row>
    <row r="180">
      <c r="A180" s="10" t="inlineStr">
        <is>
          <t>payback_months</t>
        </is>
      </c>
      <c r="B180" s="9">
        <f>IF(SUM($C$176:$R$176)=0,"n/a",SUM($C$176:$R$176))</f>
        <v/>
      </c>
    </row>
    <row r="183">
      <c r="A183" s="10" t="inlineStr">
        <is>
          <t>Scenario: upside, density + 100</t>
        </is>
      </c>
    </row>
    <row r="184">
      <c r="A184" t="inlineStr">
        <is>
          <t>param: density</t>
        </is>
      </c>
      <c r="B184">
        <f>mature_sales_density_high+100</f>
        <v/>
      </c>
    </row>
    <row r="185">
      <c r="A185" t="inlineStr">
        <is>
          <t>param: gm</t>
        </is>
      </c>
      <c r="B185">
        <f>product_gross_margin_high</f>
        <v/>
      </c>
    </row>
    <row r="186">
      <c r="A186" t="inlineStr">
        <is>
          <t>param: rent</t>
        </is>
      </c>
      <c r="B186">
        <f>rent_per_year_low</f>
        <v/>
      </c>
    </row>
    <row r="187">
      <c r="A187" t="inlineStr">
        <is>
          <t>param: capex</t>
        </is>
      </c>
      <c r="B187">
        <f>fitout_capex_low</f>
        <v/>
      </c>
    </row>
    <row r="188">
      <c r="A188" t="inlineStr">
        <is>
          <t>param: ramp1</t>
        </is>
      </c>
      <c r="B188">
        <f>ramp_year1_high</f>
        <v/>
      </c>
    </row>
    <row r="189">
      <c r="A189" t="inlineStr">
        <is>
          <t>param: ramp2</t>
        </is>
      </c>
      <c r="B189">
        <f>ramp_year2_high</f>
        <v/>
      </c>
    </row>
    <row r="190">
      <c r="A190" t="inlineStr">
        <is>
          <t>param: rent_mult</t>
        </is>
      </c>
      <c r="B190" t="n">
        <v>1</v>
      </c>
    </row>
    <row r="191">
      <c r="A191" t="inlineStr">
        <is>
          <t>param: payroll_mult</t>
        </is>
      </c>
      <c r="B191" t="n">
        <v>1</v>
      </c>
    </row>
    <row r="192">
      <c r="A192" t="inlineStr">
        <is>
          <t>param: ramp_mult</t>
        </is>
      </c>
      <c r="B192" t="n">
        <v>1</v>
      </c>
    </row>
    <row r="194">
      <c r="A194" t="inlineStr">
        <is>
          <t>Year</t>
        </is>
      </c>
      <c r="C194" t="n">
        <v>0</v>
      </c>
      <c r="D194" t="n">
        <v>1</v>
      </c>
      <c r="E194" t="n">
        <v>2</v>
      </c>
      <c r="F194" t="n">
        <v>3</v>
      </c>
      <c r="G194" t="n">
        <v>4</v>
      </c>
      <c r="H194" t="n">
        <v>5</v>
      </c>
      <c r="I194" t="n">
        <v>6</v>
      </c>
      <c r="J194" t="n">
        <v>7</v>
      </c>
      <c r="K194" t="n">
        <v>8</v>
      </c>
      <c r="L194" t="n">
        <v>9</v>
      </c>
      <c r="M194" t="n">
        <v>10</v>
      </c>
      <c r="N194" t="n">
        <v>11</v>
      </c>
      <c r="O194" t="n">
        <v>12</v>
      </c>
      <c r="P194" t="n">
        <v>13</v>
      </c>
      <c r="Q194" t="n">
        <v>14</v>
      </c>
      <c r="R194" t="n">
        <v>15</v>
      </c>
    </row>
    <row r="195">
      <c r="A195" t="inlineStr">
        <is>
          <t>Trading year flag</t>
        </is>
      </c>
      <c r="C195">
        <f>IF(AND(C194&gt;=1,C194&lt;=lease_term_years),1,0)</f>
        <v/>
      </c>
      <c r="D195">
        <f>IF(AND(D194&gt;=1,D194&lt;=lease_term_years),1,0)</f>
        <v/>
      </c>
      <c r="E195">
        <f>IF(AND(E194&gt;=1,E194&lt;=lease_term_years),1,0)</f>
        <v/>
      </c>
      <c r="F195">
        <f>IF(AND(F194&gt;=1,F194&lt;=lease_term_years),1,0)</f>
        <v/>
      </c>
      <c r="G195">
        <f>IF(AND(G194&gt;=1,G194&lt;=lease_term_years),1,0)</f>
        <v/>
      </c>
      <c r="H195">
        <f>IF(AND(H194&gt;=1,H194&lt;=lease_term_years),1,0)</f>
        <v/>
      </c>
      <c r="I195">
        <f>IF(AND(I194&gt;=1,I194&lt;=lease_term_years),1,0)</f>
        <v/>
      </c>
      <c r="J195">
        <f>IF(AND(J194&gt;=1,J194&lt;=lease_term_years),1,0)</f>
        <v/>
      </c>
      <c r="K195">
        <f>IF(AND(K194&gt;=1,K194&lt;=lease_term_years),1,0)</f>
        <v/>
      </c>
      <c r="L195">
        <f>IF(AND(L194&gt;=1,L194&lt;=lease_term_years),1,0)</f>
        <v/>
      </c>
      <c r="M195">
        <f>IF(AND(M194&gt;=1,M194&lt;=lease_term_years),1,0)</f>
        <v/>
      </c>
      <c r="N195">
        <f>IF(AND(N194&gt;=1,N194&lt;=lease_term_years),1,0)</f>
        <v/>
      </c>
      <c r="O195">
        <f>IF(AND(O194&gt;=1,O194&lt;=lease_term_years),1,0)</f>
        <v/>
      </c>
      <c r="P195">
        <f>IF(AND(P194&gt;=1,P194&lt;=lease_term_years),1,0)</f>
        <v/>
      </c>
      <c r="Q195">
        <f>IF(AND(Q194&gt;=1,Q194&lt;=lease_term_years),1,0)</f>
        <v/>
      </c>
      <c r="R195">
        <f>IF(AND(R194&gt;=1,R194&lt;=lease_term_years),1,0)</f>
        <v/>
      </c>
    </row>
    <row r="196">
      <c r="A196" t="inlineStr">
        <is>
          <t>Ramp-up (share of mature volume)</t>
        </is>
      </c>
      <c r="C196">
        <f>IF(C194=1,1-(1-$B$188)*$B$192,IF(C194=2,1-(1-$B$189)*$B$192,1))*C195</f>
        <v/>
      </c>
      <c r="D196">
        <f>IF(D194=1,1-(1-$B$188)*$B$192,IF(D194=2,1-(1-$B$189)*$B$192,1))*D195</f>
        <v/>
      </c>
      <c r="E196">
        <f>IF(E194=1,1-(1-$B$188)*$B$192,IF(E194=2,1-(1-$B$189)*$B$192,1))*E195</f>
        <v/>
      </c>
      <c r="F196">
        <f>IF(F194=1,1-(1-$B$188)*$B$192,IF(F194=2,1-(1-$B$189)*$B$192,1))*F195</f>
        <v/>
      </c>
      <c r="G196">
        <f>IF(G194=1,1-(1-$B$188)*$B$192,IF(G194=2,1-(1-$B$189)*$B$192,1))*G195</f>
        <v/>
      </c>
      <c r="H196">
        <f>IF(H194=1,1-(1-$B$188)*$B$192,IF(H194=2,1-(1-$B$189)*$B$192,1))*H195</f>
        <v/>
      </c>
      <c r="I196">
        <f>IF(I194=1,1-(1-$B$188)*$B$192,IF(I194=2,1-(1-$B$189)*$B$192,1))*I195</f>
        <v/>
      </c>
      <c r="J196">
        <f>IF(J194=1,1-(1-$B$188)*$B$192,IF(J194=2,1-(1-$B$189)*$B$192,1))*J195</f>
        <v/>
      </c>
      <c r="K196">
        <f>IF(K194=1,1-(1-$B$188)*$B$192,IF(K194=2,1-(1-$B$189)*$B$192,1))*K195</f>
        <v/>
      </c>
      <c r="L196">
        <f>IF(L194=1,1-(1-$B$188)*$B$192,IF(L194=2,1-(1-$B$189)*$B$192,1))*L195</f>
        <v/>
      </c>
      <c r="M196">
        <f>IF(M194=1,1-(1-$B$188)*$B$192,IF(M194=2,1-(1-$B$189)*$B$192,1))*M195</f>
        <v/>
      </c>
      <c r="N196">
        <f>IF(N194=1,1-(1-$B$188)*$B$192,IF(N194=2,1-(1-$B$189)*$B$192,1))*N195</f>
        <v/>
      </c>
      <c r="O196">
        <f>IF(O194=1,1-(1-$B$188)*$B$192,IF(O194=2,1-(1-$B$189)*$B$192,1))*O195</f>
        <v/>
      </c>
      <c r="P196">
        <f>IF(P194=1,1-(1-$B$188)*$B$192,IF(P194=2,1-(1-$B$189)*$B$192,1))*P195</f>
        <v/>
      </c>
      <c r="Q196">
        <f>IF(Q194=1,1-(1-$B$188)*$B$192,IF(Q194=2,1-(1-$B$189)*$B$192,1))*Q195</f>
        <v/>
      </c>
      <c r="R196">
        <f>IF(R194=1,1-(1-$B$188)*$B$192,IF(R194=2,1-(1-$B$189)*$B$192,1))*R195</f>
        <v/>
      </c>
    </row>
    <row r="197">
      <c r="A197" t="inlineStr">
        <is>
          <t>Sales volume (year-1 prices)</t>
        </is>
      </c>
      <c r="C197">
        <f>area_sqft*$B$184*C196</f>
        <v/>
      </c>
      <c r="D197">
        <f>area_sqft*$B$184*D196</f>
        <v/>
      </c>
      <c r="E197">
        <f>area_sqft*$B$184*E196</f>
        <v/>
      </c>
      <c r="F197">
        <f>area_sqft*$B$184*F196</f>
        <v/>
      </c>
      <c r="G197">
        <f>area_sqft*$B$184*G196</f>
        <v/>
      </c>
      <c r="H197">
        <f>area_sqft*$B$184*H196</f>
        <v/>
      </c>
      <c r="I197">
        <f>area_sqft*$B$184*I196</f>
        <v/>
      </c>
      <c r="J197">
        <f>area_sqft*$B$184*J196</f>
        <v/>
      </c>
      <c r="K197">
        <f>area_sqft*$B$184*K196</f>
        <v/>
      </c>
      <c r="L197">
        <f>area_sqft*$B$184*L196</f>
        <v/>
      </c>
      <c r="M197">
        <f>area_sqft*$B$184*M196</f>
        <v/>
      </c>
      <c r="N197">
        <f>area_sqft*$B$184*N196</f>
        <v/>
      </c>
      <c r="O197">
        <f>area_sqft*$B$184*O196</f>
        <v/>
      </c>
      <c r="P197">
        <f>area_sqft*$B$184*P196</f>
        <v/>
      </c>
      <c r="Q197">
        <f>area_sqft*$B$184*Q196</f>
        <v/>
      </c>
      <c r="R197">
        <f>area_sqft*$B$184*R196</f>
        <v/>
      </c>
    </row>
    <row r="198">
      <c r="A198" t="inlineStr">
        <is>
          <t>Sales growth index</t>
        </is>
      </c>
      <c r="C198">
        <f>IF(C195=1,(1+sales_growth)^(C194-1),0)</f>
        <v/>
      </c>
      <c r="D198">
        <f>IF(D195=1,(1+sales_growth)^(D194-1),0)</f>
        <v/>
      </c>
      <c r="E198">
        <f>IF(E195=1,(1+sales_growth)^(E194-1),0)</f>
        <v/>
      </c>
      <c r="F198">
        <f>IF(F195=1,(1+sales_growth)^(F194-1),0)</f>
        <v/>
      </c>
      <c r="G198">
        <f>IF(G195=1,(1+sales_growth)^(G194-1),0)</f>
        <v/>
      </c>
      <c r="H198">
        <f>IF(H195=1,(1+sales_growth)^(H194-1),0)</f>
        <v/>
      </c>
      <c r="I198">
        <f>IF(I195=1,(1+sales_growth)^(I194-1),0)</f>
        <v/>
      </c>
      <c r="J198">
        <f>IF(J195=1,(1+sales_growth)^(J194-1),0)</f>
        <v/>
      </c>
      <c r="K198">
        <f>IF(K195=1,(1+sales_growth)^(K194-1),0)</f>
        <v/>
      </c>
      <c r="L198">
        <f>IF(L195=1,(1+sales_growth)^(L194-1),0)</f>
        <v/>
      </c>
      <c r="M198">
        <f>IF(M195=1,(1+sales_growth)^(M194-1),0)</f>
        <v/>
      </c>
      <c r="N198">
        <f>IF(N195=1,(1+sales_growth)^(N194-1),0)</f>
        <v/>
      </c>
      <c r="O198">
        <f>IF(O195=1,(1+sales_growth)^(O194-1),0)</f>
        <v/>
      </c>
      <c r="P198">
        <f>IF(P195=1,(1+sales_growth)^(P194-1),0)</f>
        <v/>
      </c>
      <c r="Q198">
        <f>IF(Q195=1,(1+sales_growth)^(Q194-1),0)</f>
        <v/>
      </c>
      <c r="R198">
        <f>IF(R195=1,(1+sales_growth)^(R194-1),0)</f>
        <v/>
      </c>
    </row>
    <row r="199">
      <c r="A199" t="inlineStr">
        <is>
          <t>Sales</t>
        </is>
      </c>
      <c r="C199">
        <f>C197*C198</f>
        <v/>
      </c>
      <c r="D199">
        <f>D197*D198</f>
        <v/>
      </c>
      <c r="E199">
        <f>E197*E198</f>
        <v/>
      </c>
      <c r="F199">
        <f>F197*F198</f>
        <v/>
      </c>
      <c r="G199">
        <f>G197*G198</f>
        <v/>
      </c>
      <c r="H199">
        <f>H197*H198</f>
        <v/>
      </c>
      <c r="I199">
        <f>I197*I198</f>
        <v/>
      </c>
      <c r="J199">
        <f>J197*J198</f>
        <v/>
      </c>
      <c r="K199">
        <f>K197*K198</f>
        <v/>
      </c>
      <c r="L199">
        <f>L197*L198</f>
        <v/>
      </c>
      <c r="M199">
        <f>M197*M198</f>
        <v/>
      </c>
      <c r="N199">
        <f>N197*N198</f>
        <v/>
      </c>
      <c r="O199">
        <f>O197*O198</f>
        <v/>
      </c>
      <c r="P199">
        <f>P197*P198</f>
        <v/>
      </c>
      <c r="Q199">
        <f>Q197*Q198</f>
        <v/>
      </c>
      <c r="R199">
        <f>R197*R198</f>
        <v/>
      </c>
    </row>
    <row r="200">
      <c r="A200" t="inlineStr">
        <is>
          <t>Gross margin</t>
        </is>
      </c>
      <c r="C200">
        <f>C199*$B$185</f>
        <v/>
      </c>
      <c r="D200">
        <f>D199*$B$185</f>
        <v/>
      </c>
      <c r="E200">
        <f>E199*$B$185</f>
        <v/>
      </c>
      <c r="F200">
        <f>F199*$B$185</f>
        <v/>
      </c>
      <c r="G200">
        <f>G199*$B$185</f>
        <v/>
      </c>
      <c r="H200">
        <f>H199*$B$185</f>
        <v/>
      </c>
      <c r="I200">
        <f>I199*$B$185</f>
        <v/>
      </c>
      <c r="J200">
        <f>J199*$B$185</f>
        <v/>
      </c>
      <c r="K200">
        <f>K199*$B$185</f>
        <v/>
      </c>
      <c r="L200">
        <f>L199*$B$185</f>
        <v/>
      </c>
      <c r="M200">
        <f>M199*$B$185</f>
        <v/>
      </c>
      <c r="N200">
        <f>N199*$B$185</f>
        <v/>
      </c>
      <c r="O200">
        <f>O199*$B$185</f>
        <v/>
      </c>
      <c r="P200">
        <f>P199*$B$185</f>
        <v/>
      </c>
      <c r="Q200">
        <f>Q199*$B$185</f>
        <v/>
      </c>
      <c r="R200">
        <f>R199*$B$185</f>
        <v/>
      </c>
    </row>
    <row r="201">
      <c r="A201" t="inlineStr">
        <is>
          <t>Wage index</t>
        </is>
      </c>
      <c r="C201">
        <f>IF(C195=1,(1+wage_inflation)^(C194-1),0)</f>
        <v/>
      </c>
      <c r="D201">
        <f>IF(D195=1,(1+wage_inflation)^(D194-1),0)</f>
        <v/>
      </c>
      <c r="E201">
        <f>IF(E195=1,(1+wage_inflation)^(E194-1),0)</f>
        <v/>
      </c>
      <c r="F201">
        <f>IF(F195=1,(1+wage_inflation)^(F194-1),0)</f>
        <v/>
      </c>
      <c r="G201">
        <f>IF(G195=1,(1+wage_inflation)^(G194-1),0)</f>
        <v/>
      </c>
      <c r="H201">
        <f>IF(H195=1,(1+wage_inflation)^(H194-1),0)</f>
        <v/>
      </c>
      <c r="I201">
        <f>IF(I195=1,(1+wage_inflation)^(I194-1),0)</f>
        <v/>
      </c>
      <c r="J201">
        <f>IF(J195=1,(1+wage_inflation)^(J194-1),0)</f>
        <v/>
      </c>
      <c r="K201">
        <f>IF(K195=1,(1+wage_inflation)^(K194-1),0)</f>
        <v/>
      </c>
      <c r="L201">
        <f>IF(L195=1,(1+wage_inflation)^(L194-1),0)</f>
        <v/>
      </c>
      <c r="M201">
        <f>IF(M195=1,(1+wage_inflation)^(M194-1),0)</f>
        <v/>
      </c>
      <c r="N201">
        <f>IF(N195=1,(1+wage_inflation)^(N194-1),0)</f>
        <v/>
      </c>
      <c r="O201">
        <f>IF(O195=1,(1+wage_inflation)^(O194-1),0)</f>
        <v/>
      </c>
      <c r="P201">
        <f>IF(P195=1,(1+wage_inflation)^(P194-1),0)</f>
        <v/>
      </c>
      <c r="Q201">
        <f>IF(Q195=1,(1+wage_inflation)^(Q194-1),0)</f>
        <v/>
      </c>
      <c r="R201">
        <f>IF(R195=1,(1+wage_inflation)^(R194-1),0)</f>
        <v/>
      </c>
    </row>
    <row r="202">
      <c r="A202" t="inlineStr">
        <is>
          <t>Payroll</t>
        </is>
      </c>
      <c r="C202">
        <f>(fixed_payroll*C195+variable_cost_per_k*C197/1000)*C201*$B$191</f>
        <v/>
      </c>
      <c r="D202">
        <f>(fixed_payroll*D195+variable_cost_per_k*D197/1000)*D201*$B$191</f>
        <v/>
      </c>
      <c r="E202">
        <f>(fixed_payroll*E195+variable_cost_per_k*E197/1000)*E201*$B$191</f>
        <v/>
      </c>
      <c r="F202">
        <f>(fixed_payroll*F195+variable_cost_per_k*F197/1000)*F201*$B$191</f>
        <v/>
      </c>
      <c r="G202">
        <f>(fixed_payroll*G195+variable_cost_per_k*G197/1000)*G201*$B$191</f>
        <v/>
      </c>
      <c r="H202">
        <f>(fixed_payroll*H195+variable_cost_per_k*H197/1000)*H201*$B$191</f>
        <v/>
      </c>
      <c r="I202">
        <f>(fixed_payroll*I195+variable_cost_per_k*I197/1000)*I201*$B$191</f>
        <v/>
      </c>
      <c r="J202">
        <f>(fixed_payroll*J195+variable_cost_per_k*J197/1000)*J201*$B$191</f>
        <v/>
      </c>
      <c r="K202">
        <f>(fixed_payroll*K195+variable_cost_per_k*K197/1000)*K201*$B$191</f>
        <v/>
      </c>
      <c r="L202">
        <f>(fixed_payroll*L195+variable_cost_per_k*L197/1000)*L201*$B$191</f>
        <v/>
      </c>
      <c r="M202">
        <f>(fixed_payroll*M195+variable_cost_per_k*M197/1000)*M201*$B$191</f>
        <v/>
      </c>
      <c r="N202">
        <f>(fixed_payroll*N195+variable_cost_per_k*N197/1000)*N201*$B$191</f>
        <v/>
      </c>
      <c r="O202">
        <f>(fixed_payroll*O195+variable_cost_per_k*O197/1000)*O201*$B$191</f>
        <v/>
      </c>
      <c r="P202">
        <f>(fixed_payroll*P195+variable_cost_per_k*P197/1000)*P201*$B$191</f>
        <v/>
      </c>
      <c r="Q202">
        <f>(fixed_payroll*Q195+variable_cost_per_k*Q197/1000)*Q201*$B$191</f>
        <v/>
      </c>
      <c r="R202">
        <f>(fixed_payroll*R195+variable_cost_per_k*R197/1000)*R201*$B$191</f>
        <v/>
      </c>
    </row>
    <row r="203">
      <c r="A203" t="inlineStr">
        <is>
          <t>Rent</t>
        </is>
      </c>
      <c r="C203">
        <f>$B$186*(1+IF(C194&gt;=6,rent_review_uplift,0))*C195*$B$190</f>
        <v/>
      </c>
      <c r="D203">
        <f>$B$186*(1+IF(D194&gt;=6,rent_review_uplift,0))*D195*$B$190</f>
        <v/>
      </c>
      <c r="E203">
        <f>$B$186*(1+IF(E194&gt;=6,rent_review_uplift,0))*E195*$B$190</f>
        <v/>
      </c>
      <c r="F203">
        <f>$B$186*(1+IF(F194&gt;=6,rent_review_uplift,0))*F195*$B$190</f>
        <v/>
      </c>
      <c r="G203">
        <f>$B$186*(1+IF(G194&gt;=6,rent_review_uplift,0))*G195*$B$190</f>
        <v/>
      </c>
      <c r="H203">
        <f>$B$186*(1+IF(H194&gt;=6,rent_review_uplift,0))*H195*$B$190</f>
        <v/>
      </c>
      <c r="I203">
        <f>$B$186*(1+IF(I194&gt;=6,rent_review_uplift,0))*I195*$B$190</f>
        <v/>
      </c>
      <c r="J203">
        <f>$B$186*(1+IF(J194&gt;=6,rent_review_uplift,0))*J195*$B$190</f>
        <v/>
      </c>
      <c r="K203">
        <f>$B$186*(1+IF(K194&gt;=6,rent_review_uplift,0))*K195*$B$190</f>
        <v/>
      </c>
      <c r="L203">
        <f>$B$186*(1+IF(L194&gt;=6,rent_review_uplift,0))*L195*$B$190</f>
        <v/>
      </c>
      <c r="M203">
        <f>$B$186*(1+IF(M194&gt;=6,rent_review_uplift,0))*M195*$B$190</f>
        <v/>
      </c>
      <c r="N203">
        <f>$B$186*(1+IF(N194&gt;=6,rent_review_uplift,0))*N195*$B$190</f>
        <v/>
      </c>
      <c r="O203">
        <f>$B$186*(1+IF(O194&gt;=6,rent_review_uplift,0))*O195*$B$190</f>
        <v/>
      </c>
      <c r="P203">
        <f>$B$186*(1+IF(P194&gt;=6,rent_review_uplift,0))*P195*$B$190</f>
        <v/>
      </c>
      <c r="Q203">
        <f>$B$186*(1+IF(Q194&gt;=6,rent_review_uplift,0))*Q195*$B$190</f>
        <v/>
      </c>
      <c r="R203">
        <f>$B$186*(1+IF(R194&gt;=6,rent_review_uplift,0))*R195*$B$190</f>
        <v/>
      </c>
    </row>
    <row r="204">
      <c r="A204" t="inlineStr">
        <is>
          <t>Cost index</t>
        </is>
      </c>
      <c r="C204">
        <f>IF(C195=1,(1+cost_inflation)^(C194-1),0)</f>
        <v/>
      </c>
      <c r="D204">
        <f>IF(D195=1,(1+cost_inflation)^(D194-1),0)</f>
        <v/>
      </c>
      <c r="E204">
        <f>IF(E195=1,(1+cost_inflation)^(E194-1),0)</f>
        <v/>
      </c>
      <c r="F204">
        <f>IF(F195=1,(1+cost_inflation)^(F194-1),0)</f>
        <v/>
      </c>
      <c r="G204">
        <f>IF(G195=1,(1+cost_inflation)^(G194-1),0)</f>
        <v/>
      </c>
      <c r="H204">
        <f>IF(H195=1,(1+cost_inflation)^(H194-1),0)</f>
        <v/>
      </c>
      <c r="I204">
        <f>IF(I195=1,(1+cost_inflation)^(I194-1),0)</f>
        <v/>
      </c>
      <c r="J204">
        <f>IF(J195=1,(1+cost_inflation)^(J194-1),0)</f>
        <v/>
      </c>
      <c r="K204">
        <f>IF(K195=1,(1+cost_inflation)^(K194-1),0)</f>
        <v/>
      </c>
      <c r="L204">
        <f>IF(L195=1,(1+cost_inflation)^(L194-1),0)</f>
        <v/>
      </c>
      <c r="M204">
        <f>IF(M195=1,(1+cost_inflation)^(M194-1),0)</f>
        <v/>
      </c>
      <c r="N204">
        <f>IF(N195=1,(1+cost_inflation)^(N194-1),0)</f>
        <v/>
      </c>
      <c r="O204">
        <f>IF(O195=1,(1+cost_inflation)^(O194-1),0)</f>
        <v/>
      </c>
      <c r="P204">
        <f>IF(P195=1,(1+cost_inflation)^(P194-1),0)</f>
        <v/>
      </c>
      <c r="Q204">
        <f>IF(Q195=1,(1+cost_inflation)^(Q194-1),0)</f>
        <v/>
      </c>
      <c r="R204">
        <f>IF(R195=1,(1+cost_inflation)^(R194-1),0)</f>
        <v/>
      </c>
    </row>
    <row r="205">
      <c r="A205" t="inlineStr">
        <is>
          <t>Business rates</t>
        </is>
      </c>
      <c r="C205">
        <f>rateable_value*IF(rateable_value&lt;51000,rates_multiplier_rhl_small,IF(rateable_value&lt;500000,rates_multiplier_rhl_standard,rates_multiplier_high_value))*C204</f>
        <v/>
      </c>
      <c r="D205">
        <f>rateable_value*IF(rateable_value&lt;51000,rates_multiplier_rhl_small,IF(rateable_value&lt;500000,rates_multiplier_rhl_standard,rates_multiplier_high_value))*D204</f>
        <v/>
      </c>
      <c r="E205">
        <f>rateable_value*IF(rateable_value&lt;51000,rates_multiplier_rhl_small,IF(rateable_value&lt;500000,rates_multiplier_rhl_standard,rates_multiplier_high_value))*E204</f>
        <v/>
      </c>
      <c r="F205">
        <f>rateable_value*IF(rateable_value&lt;51000,rates_multiplier_rhl_small,IF(rateable_value&lt;500000,rates_multiplier_rhl_standard,rates_multiplier_high_value))*F204</f>
        <v/>
      </c>
      <c r="G205">
        <f>rateable_value*IF(rateable_value&lt;51000,rates_multiplier_rhl_small,IF(rateable_value&lt;500000,rates_multiplier_rhl_standard,rates_multiplier_high_value))*G204</f>
        <v/>
      </c>
      <c r="H205">
        <f>rateable_value*IF(rateable_value&lt;51000,rates_multiplier_rhl_small,IF(rateable_value&lt;500000,rates_multiplier_rhl_standard,rates_multiplier_high_value))*H204</f>
        <v/>
      </c>
      <c r="I205">
        <f>rateable_value*IF(rateable_value&lt;51000,rates_multiplier_rhl_small,IF(rateable_value&lt;500000,rates_multiplier_rhl_standard,rates_multiplier_high_value))*I204</f>
        <v/>
      </c>
      <c r="J205">
        <f>rateable_value*IF(rateable_value&lt;51000,rates_multiplier_rhl_small,IF(rateable_value&lt;500000,rates_multiplier_rhl_standard,rates_multiplier_high_value))*J204</f>
        <v/>
      </c>
      <c r="K205">
        <f>rateable_value*IF(rateable_value&lt;51000,rates_multiplier_rhl_small,IF(rateable_value&lt;500000,rates_multiplier_rhl_standard,rates_multiplier_high_value))*K204</f>
        <v/>
      </c>
      <c r="L205">
        <f>rateable_value*IF(rateable_value&lt;51000,rates_multiplier_rhl_small,IF(rateable_value&lt;500000,rates_multiplier_rhl_standard,rates_multiplier_high_value))*L204</f>
        <v/>
      </c>
      <c r="M205">
        <f>rateable_value*IF(rateable_value&lt;51000,rates_multiplier_rhl_small,IF(rateable_value&lt;500000,rates_multiplier_rhl_standard,rates_multiplier_high_value))*M204</f>
        <v/>
      </c>
      <c r="N205">
        <f>rateable_value*IF(rateable_value&lt;51000,rates_multiplier_rhl_small,IF(rateable_value&lt;500000,rates_multiplier_rhl_standard,rates_multiplier_high_value))*N204</f>
        <v/>
      </c>
      <c r="O205">
        <f>rateable_value*IF(rateable_value&lt;51000,rates_multiplier_rhl_small,IF(rateable_value&lt;500000,rates_multiplier_rhl_standard,rates_multiplier_high_value))*O204</f>
        <v/>
      </c>
      <c r="P205">
        <f>rateable_value*IF(rateable_value&lt;51000,rates_multiplier_rhl_small,IF(rateable_value&lt;500000,rates_multiplier_rhl_standard,rates_multiplier_high_value))*P204</f>
        <v/>
      </c>
      <c r="Q205">
        <f>rateable_value*IF(rateable_value&lt;51000,rates_multiplier_rhl_small,IF(rateable_value&lt;500000,rates_multiplier_rhl_standard,rates_multiplier_high_value))*Q204</f>
        <v/>
      </c>
      <c r="R205">
        <f>rateable_value*IF(rateable_value&lt;51000,rates_multiplier_rhl_small,IF(rateable_value&lt;500000,rates_multiplier_rhl_standard,rates_multiplier_high_value))*R204</f>
        <v/>
      </c>
    </row>
    <row r="206">
      <c r="A206" t="inlineStr">
        <is>
          <t>Service charge, utilities, insurance</t>
        </is>
      </c>
      <c r="C206">
        <f>occupancy_other_psf*area_sqft*C204</f>
        <v/>
      </c>
      <c r="D206">
        <f>occupancy_other_psf*area_sqft*D204</f>
        <v/>
      </c>
      <c r="E206">
        <f>occupancy_other_psf*area_sqft*E204</f>
        <v/>
      </c>
      <c r="F206">
        <f>occupancy_other_psf*area_sqft*F204</f>
        <v/>
      </c>
      <c r="G206">
        <f>occupancy_other_psf*area_sqft*G204</f>
        <v/>
      </c>
      <c r="H206">
        <f>occupancy_other_psf*area_sqft*H204</f>
        <v/>
      </c>
      <c r="I206">
        <f>occupancy_other_psf*area_sqft*I204</f>
        <v/>
      </c>
      <c r="J206">
        <f>occupancy_other_psf*area_sqft*J204</f>
        <v/>
      </c>
      <c r="K206">
        <f>occupancy_other_psf*area_sqft*K204</f>
        <v/>
      </c>
      <c r="L206">
        <f>occupancy_other_psf*area_sqft*L204</f>
        <v/>
      </c>
      <c r="M206">
        <f>occupancy_other_psf*area_sqft*M204</f>
        <v/>
      </c>
      <c r="N206">
        <f>occupancy_other_psf*area_sqft*N204</f>
        <v/>
      </c>
      <c r="O206">
        <f>occupancy_other_psf*area_sqft*O204</f>
        <v/>
      </c>
      <c r="P206">
        <f>occupancy_other_psf*area_sqft*P204</f>
        <v/>
      </c>
      <c r="Q206">
        <f>occupancy_other_psf*area_sqft*Q204</f>
        <v/>
      </c>
      <c r="R206">
        <f>occupancy_other_psf*area_sqft*R204</f>
        <v/>
      </c>
    </row>
    <row r="207">
      <c r="A207" t="inlineStr">
        <is>
          <t>Other store opex</t>
        </is>
      </c>
      <c r="C207">
        <f>C199*other_opex_pct_sales</f>
        <v/>
      </c>
      <c r="D207">
        <f>D199*other_opex_pct_sales</f>
        <v/>
      </c>
      <c r="E207">
        <f>E199*other_opex_pct_sales</f>
        <v/>
      </c>
      <c r="F207">
        <f>F199*other_opex_pct_sales</f>
        <v/>
      </c>
      <c r="G207">
        <f>G199*other_opex_pct_sales</f>
        <v/>
      </c>
      <c r="H207">
        <f>H199*other_opex_pct_sales</f>
        <v/>
      </c>
      <c r="I207">
        <f>I199*other_opex_pct_sales</f>
        <v/>
      </c>
      <c r="J207">
        <f>J199*other_opex_pct_sales</f>
        <v/>
      </c>
      <c r="K207">
        <f>K199*other_opex_pct_sales</f>
        <v/>
      </c>
      <c r="L207">
        <f>L199*other_opex_pct_sales</f>
        <v/>
      </c>
      <c r="M207">
        <f>M199*other_opex_pct_sales</f>
        <v/>
      </c>
      <c r="N207">
        <f>N199*other_opex_pct_sales</f>
        <v/>
      </c>
      <c r="O207">
        <f>O199*other_opex_pct_sales</f>
        <v/>
      </c>
      <c r="P207">
        <f>P199*other_opex_pct_sales</f>
        <v/>
      </c>
      <c r="Q207">
        <f>Q199*other_opex_pct_sales</f>
        <v/>
      </c>
      <c r="R207">
        <f>R199*other_opex_pct_sales</f>
        <v/>
      </c>
    </row>
    <row r="208">
      <c r="A208" t="inlineStr">
        <is>
          <t>Store EBITDA (4-wall)</t>
        </is>
      </c>
      <c r="C208">
        <f>C200-C202-C203-C205-C206-C207</f>
        <v/>
      </c>
      <c r="D208">
        <f>D200-D202-D203-D205-D206-D207</f>
        <v/>
      </c>
      <c r="E208">
        <f>E200-E202-E203-E205-E206-E207</f>
        <v/>
      </c>
      <c r="F208">
        <f>F200-F202-F203-F205-F206-F207</f>
        <v/>
      </c>
      <c r="G208">
        <f>G200-G202-G203-G205-G206-G207</f>
        <v/>
      </c>
      <c r="H208">
        <f>H200-H202-H203-H205-H206-H207</f>
        <v/>
      </c>
      <c r="I208">
        <f>I200-I202-I203-I205-I206-I207</f>
        <v/>
      </c>
      <c r="J208">
        <f>J200-J202-J203-J205-J206-J207</f>
        <v/>
      </c>
      <c r="K208">
        <f>K200-K202-K203-K205-K206-K207</f>
        <v/>
      </c>
      <c r="L208">
        <f>L200-L202-L203-L205-L206-L207</f>
        <v/>
      </c>
      <c r="M208">
        <f>M200-M202-M203-M205-M206-M207</f>
        <v/>
      </c>
      <c r="N208">
        <f>N200-N202-N203-N205-N206-N207</f>
        <v/>
      </c>
      <c r="O208">
        <f>O200-O202-O203-O205-O206-O207</f>
        <v/>
      </c>
      <c r="P208">
        <f>P200-P202-P203-P205-P206-P207</f>
        <v/>
      </c>
      <c r="Q208">
        <f>Q200-Q202-Q203-Q205-Q206-Q207</f>
        <v/>
      </c>
      <c r="R208">
        <f>R200-R202-R203-R205-R206-R207</f>
        <v/>
      </c>
    </row>
    <row r="209">
      <c r="A209" t="inlineStr">
        <is>
          <t>Pre-opening costs</t>
        </is>
      </c>
      <c r="C209">
        <f>IF(C194=0,pre_opening_costs,0)</f>
        <v/>
      </c>
      <c r="D209">
        <f>IF(D194=0,pre_opening_costs,0)</f>
        <v/>
      </c>
      <c r="E209">
        <f>IF(E194=0,pre_opening_costs,0)</f>
        <v/>
      </c>
      <c r="F209">
        <f>IF(F194=0,pre_opening_costs,0)</f>
        <v/>
      </c>
      <c r="G209">
        <f>IF(G194=0,pre_opening_costs,0)</f>
        <v/>
      </c>
      <c r="H209">
        <f>IF(H194=0,pre_opening_costs,0)</f>
        <v/>
      </c>
      <c r="I209">
        <f>IF(I194=0,pre_opening_costs,0)</f>
        <v/>
      </c>
      <c r="J209">
        <f>IF(J194=0,pre_opening_costs,0)</f>
        <v/>
      </c>
      <c r="K209">
        <f>IF(K194=0,pre_opening_costs,0)</f>
        <v/>
      </c>
      <c r="L209">
        <f>IF(L194=0,pre_opening_costs,0)</f>
        <v/>
      </c>
      <c r="M209">
        <f>IF(M194=0,pre_opening_costs,0)</f>
        <v/>
      </c>
      <c r="N209">
        <f>IF(N194=0,pre_opening_costs,0)</f>
        <v/>
      </c>
      <c r="O209">
        <f>IF(O194=0,pre_opening_costs,0)</f>
        <v/>
      </c>
      <c r="P209">
        <f>IF(P194=0,pre_opening_costs,0)</f>
        <v/>
      </c>
      <c r="Q209">
        <f>IF(Q194=0,pre_opening_costs,0)</f>
        <v/>
      </c>
      <c r="R209">
        <f>IF(R194=0,pre_opening_costs,0)</f>
        <v/>
      </c>
    </row>
    <row r="210">
      <c r="A210" t="inlineStr">
        <is>
          <t>Fit-out capex</t>
        </is>
      </c>
      <c r="C210">
        <f>IF(C194=0,$B$187,0)</f>
        <v/>
      </c>
      <c r="D210">
        <f>IF(D194=0,$B$187,0)</f>
        <v/>
      </c>
      <c r="E210">
        <f>IF(E194=0,$B$187,0)</f>
        <v/>
      </c>
      <c r="F210">
        <f>IF(F194=0,$B$187,0)</f>
        <v/>
      </c>
      <c r="G210">
        <f>IF(G194=0,$B$187,0)</f>
        <v/>
      </c>
      <c r="H210">
        <f>IF(H194=0,$B$187,0)</f>
        <v/>
      </c>
      <c r="I210">
        <f>IF(I194=0,$B$187,0)</f>
        <v/>
      </c>
      <c r="J210">
        <f>IF(J194=0,$B$187,0)</f>
        <v/>
      </c>
      <c r="K210">
        <f>IF(K194=0,$B$187,0)</f>
        <v/>
      </c>
      <c r="L210">
        <f>IF(L194=0,$B$187,0)</f>
        <v/>
      </c>
      <c r="M210">
        <f>IF(M194=0,$B$187,0)</f>
        <v/>
      </c>
      <c r="N210">
        <f>IF(N194=0,$B$187,0)</f>
        <v/>
      </c>
      <c r="O210">
        <f>IF(O194=0,$B$187,0)</f>
        <v/>
      </c>
      <c r="P210">
        <f>IF(P194=0,$B$187,0)</f>
        <v/>
      </c>
      <c r="Q210">
        <f>IF(Q194=0,$B$187,0)</f>
        <v/>
      </c>
      <c r="R210">
        <f>IF(R194=0,$B$187,0)</f>
        <v/>
      </c>
    </row>
    <row r="211">
      <c r="A211" t="inlineStr">
        <is>
          <t>Tax depreciation</t>
        </is>
      </c>
      <c r="C211">
        <f>IF(AND(C194&gt;=1,C194&lt;=tax_depreciation_years,C194&lt;=lease_term_years),$B$187/tax_depreciation_years,0)</f>
        <v/>
      </c>
      <c r="D211">
        <f>IF(AND(D194&gt;=1,D194&lt;=tax_depreciation_years,D194&lt;=lease_term_years),$B$187/tax_depreciation_years,0)</f>
        <v/>
      </c>
      <c r="E211">
        <f>IF(AND(E194&gt;=1,E194&lt;=tax_depreciation_years,E194&lt;=lease_term_years),$B$187/tax_depreciation_years,0)</f>
        <v/>
      </c>
      <c r="F211">
        <f>IF(AND(F194&gt;=1,F194&lt;=tax_depreciation_years,F194&lt;=lease_term_years),$B$187/tax_depreciation_years,0)</f>
        <v/>
      </c>
      <c r="G211">
        <f>IF(AND(G194&gt;=1,G194&lt;=tax_depreciation_years,G194&lt;=lease_term_years),$B$187/tax_depreciation_years,0)</f>
        <v/>
      </c>
      <c r="H211">
        <f>IF(AND(H194&gt;=1,H194&lt;=tax_depreciation_years,H194&lt;=lease_term_years),$B$187/tax_depreciation_years,0)</f>
        <v/>
      </c>
      <c r="I211">
        <f>IF(AND(I194&gt;=1,I194&lt;=tax_depreciation_years,I194&lt;=lease_term_years),$B$187/tax_depreciation_years,0)</f>
        <v/>
      </c>
      <c r="J211">
        <f>IF(AND(J194&gt;=1,J194&lt;=tax_depreciation_years,J194&lt;=lease_term_years),$B$187/tax_depreciation_years,0)</f>
        <v/>
      </c>
      <c r="K211">
        <f>IF(AND(K194&gt;=1,K194&lt;=tax_depreciation_years,K194&lt;=lease_term_years),$B$187/tax_depreciation_years,0)</f>
        <v/>
      </c>
      <c r="L211">
        <f>IF(AND(L194&gt;=1,L194&lt;=tax_depreciation_years,L194&lt;=lease_term_years),$B$187/tax_depreciation_years,0)</f>
        <v/>
      </c>
      <c r="M211">
        <f>IF(AND(M194&gt;=1,M194&lt;=tax_depreciation_years,M194&lt;=lease_term_years),$B$187/tax_depreciation_years,0)</f>
        <v/>
      </c>
      <c r="N211">
        <f>IF(AND(N194&gt;=1,N194&lt;=tax_depreciation_years,N194&lt;=lease_term_years),$B$187/tax_depreciation_years,0)</f>
        <v/>
      </c>
      <c r="O211">
        <f>IF(AND(O194&gt;=1,O194&lt;=tax_depreciation_years,O194&lt;=lease_term_years),$B$187/tax_depreciation_years,0)</f>
        <v/>
      </c>
      <c r="P211">
        <f>IF(AND(P194&gt;=1,P194&lt;=tax_depreciation_years,P194&lt;=lease_term_years),$B$187/tax_depreciation_years,0)</f>
        <v/>
      </c>
      <c r="Q211">
        <f>IF(AND(Q194&gt;=1,Q194&lt;=tax_depreciation_years,Q194&lt;=lease_term_years),$B$187/tax_depreciation_years,0)</f>
        <v/>
      </c>
      <c r="R211">
        <f>IF(AND(R194&gt;=1,R194&lt;=tax_depreciation_years,R194&lt;=lease_term_years),$B$187/tax_depreciation_years,0)</f>
        <v/>
      </c>
    </row>
    <row r="212">
      <c r="A212" t="inlineStr">
        <is>
          <t>Dilapidations</t>
        </is>
      </c>
      <c r="C212">
        <f>IF(C194=lease_term_years,dilapidations_at_exit,0)</f>
        <v/>
      </c>
      <c r="D212">
        <f>IF(D194=lease_term_years,dilapidations_at_exit,0)</f>
        <v/>
      </c>
      <c r="E212">
        <f>IF(E194=lease_term_years,dilapidations_at_exit,0)</f>
        <v/>
      </c>
      <c r="F212">
        <f>IF(F194=lease_term_years,dilapidations_at_exit,0)</f>
        <v/>
      </c>
      <c r="G212">
        <f>IF(G194=lease_term_years,dilapidations_at_exit,0)</f>
        <v/>
      </c>
      <c r="H212">
        <f>IF(H194=lease_term_years,dilapidations_at_exit,0)</f>
        <v/>
      </c>
      <c r="I212">
        <f>IF(I194=lease_term_years,dilapidations_at_exit,0)</f>
        <v/>
      </c>
      <c r="J212">
        <f>IF(J194=lease_term_years,dilapidations_at_exit,0)</f>
        <v/>
      </c>
      <c r="K212">
        <f>IF(K194=lease_term_years,dilapidations_at_exit,0)</f>
        <v/>
      </c>
      <c r="L212">
        <f>IF(L194=lease_term_years,dilapidations_at_exit,0)</f>
        <v/>
      </c>
      <c r="M212">
        <f>IF(M194=lease_term_years,dilapidations_at_exit,0)</f>
        <v/>
      </c>
      <c r="N212">
        <f>IF(N194=lease_term_years,dilapidations_at_exit,0)</f>
        <v/>
      </c>
      <c r="O212">
        <f>IF(O194=lease_term_years,dilapidations_at_exit,0)</f>
        <v/>
      </c>
      <c r="P212">
        <f>IF(P194=lease_term_years,dilapidations_at_exit,0)</f>
        <v/>
      </c>
      <c r="Q212">
        <f>IF(Q194=lease_term_years,dilapidations_at_exit,0)</f>
        <v/>
      </c>
      <c r="R212">
        <f>IF(R194=lease_term_years,dilapidations_at_exit,0)</f>
        <v/>
      </c>
    </row>
    <row r="213">
      <c r="A213" t="inlineStr">
        <is>
          <t>Taxable profit</t>
        </is>
      </c>
      <c r="C213">
        <f>C208-C209-C211-C212</f>
        <v/>
      </c>
      <c r="D213">
        <f>D208-D209-D211-D212</f>
        <v/>
      </c>
      <c r="E213">
        <f>E208-E209-E211-E212</f>
        <v/>
      </c>
      <c r="F213">
        <f>F208-F209-F211-F212</f>
        <v/>
      </c>
      <c r="G213">
        <f>G208-G209-G211-G212</f>
        <v/>
      </c>
      <c r="H213">
        <f>H208-H209-H211-H212</f>
        <v/>
      </c>
      <c r="I213">
        <f>I208-I209-I211-I212</f>
        <v/>
      </c>
      <c r="J213">
        <f>J208-J209-J211-J212</f>
        <v/>
      </c>
      <c r="K213">
        <f>K208-K209-K211-K212</f>
        <v/>
      </c>
      <c r="L213">
        <f>L208-L209-L211-L212</f>
        <v/>
      </c>
      <c r="M213">
        <f>M208-M209-M211-M212</f>
        <v/>
      </c>
      <c r="N213">
        <f>N208-N209-N211-N212</f>
        <v/>
      </c>
      <c r="O213">
        <f>O208-O209-O211-O212</f>
        <v/>
      </c>
      <c r="P213">
        <f>P208-P209-P211-P212</f>
        <v/>
      </c>
      <c r="Q213">
        <f>Q208-Q209-Q211-Q212</f>
        <v/>
      </c>
      <c r="R213">
        <f>R208-R209-R211-R212</f>
        <v/>
      </c>
    </row>
    <row r="214">
      <c r="A214" t="inlineStr">
        <is>
          <t>Tax (negative = group relief)</t>
        </is>
      </c>
      <c r="C214">
        <f>C213*tax_rate</f>
        <v/>
      </c>
      <c r="D214">
        <f>D213*tax_rate</f>
        <v/>
      </c>
      <c r="E214">
        <f>E213*tax_rate</f>
        <v/>
      </c>
      <c r="F214">
        <f>F213*tax_rate</f>
        <v/>
      </c>
      <c r="G214">
        <f>G213*tax_rate</f>
        <v/>
      </c>
      <c r="H214">
        <f>H213*tax_rate</f>
        <v/>
      </c>
      <c r="I214">
        <f>I213*tax_rate</f>
        <v/>
      </c>
      <c r="J214">
        <f>J213*tax_rate</f>
        <v/>
      </c>
      <c r="K214">
        <f>K213*tax_rate</f>
        <v/>
      </c>
      <c r="L214">
        <f>L213*tax_rate</f>
        <v/>
      </c>
      <c r="M214">
        <f>M213*tax_rate</f>
        <v/>
      </c>
      <c r="N214">
        <f>N213*tax_rate</f>
        <v/>
      </c>
      <c r="O214">
        <f>O213*tax_rate</f>
        <v/>
      </c>
      <c r="P214">
        <f>P213*tax_rate</f>
        <v/>
      </c>
      <c r="Q214">
        <f>Q213*tax_rate</f>
        <v/>
      </c>
      <c r="R214">
        <f>R213*tax_rate</f>
        <v/>
      </c>
    </row>
    <row r="215">
      <c r="A215" t="inlineStr">
        <is>
          <t>Stock held</t>
        </is>
      </c>
      <c r="C215">
        <f>IF(C194&lt;lease_term_years,stock_pct_sales*D199,0)</f>
        <v/>
      </c>
      <c r="D215">
        <f>IF(D194&lt;lease_term_years,stock_pct_sales*E199,0)</f>
        <v/>
      </c>
      <c r="E215">
        <f>IF(E194&lt;lease_term_years,stock_pct_sales*F199,0)</f>
        <v/>
      </c>
      <c r="F215">
        <f>IF(F194&lt;lease_term_years,stock_pct_sales*G199,0)</f>
        <v/>
      </c>
      <c r="G215">
        <f>IF(G194&lt;lease_term_years,stock_pct_sales*H199,0)</f>
        <v/>
      </c>
      <c r="H215">
        <f>IF(H194&lt;lease_term_years,stock_pct_sales*I199,0)</f>
        <v/>
      </c>
      <c r="I215">
        <f>IF(I194&lt;lease_term_years,stock_pct_sales*J199,0)</f>
        <v/>
      </c>
      <c r="J215">
        <f>IF(J194&lt;lease_term_years,stock_pct_sales*K199,0)</f>
        <v/>
      </c>
      <c r="K215">
        <f>IF(K194&lt;lease_term_years,stock_pct_sales*L199,0)</f>
        <v/>
      </c>
      <c r="L215">
        <f>IF(L194&lt;lease_term_years,stock_pct_sales*M199,0)</f>
        <v/>
      </c>
      <c r="M215">
        <f>IF(M194&lt;lease_term_years,stock_pct_sales*N199,0)</f>
        <v/>
      </c>
      <c r="N215">
        <f>IF(N194&lt;lease_term_years,stock_pct_sales*O199,0)</f>
        <v/>
      </c>
      <c r="O215">
        <f>IF(O194&lt;lease_term_years,stock_pct_sales*P199,0)</f>
        <v/>
      </c>
      <c r="P215">
        <f>IF(P194&lt;lease_term_years,stock_pct_sales*Q199,0)</f>
        <v/>
      </c>
      <c r="Q215">
        <f>IF(Q194&lt;lease_term_years,stock_pct_sales*R199,0)</f>
        <v/>
      </c>
      <c r="R215">
        <f>0</f>
        <v/>
      </c>
    </row>
    <row r="216">
      <c r="A216" t="inlineStr">
        <is>
          <t>Change in stock</t>
        </is>
      </c>
      <c r="C216">
        <f>C215</f>
        <v/>
      </c>
      <c r="D216">
        <f>D215-C215</f>
        <v/>
      </c>
      <c r="E216">
        <f>E215-D215</f>
        <v/>
      </c>
      <c r="F216">
        <f>F215-E215</f>
        <v/>
      </c>
      <c r="G216">
        <f>G215-F215</f>
        <v/>
      </c>
      <c r="H216">
        <f>H215-G215</f>
        <v/>
      </c>
      <c r="I216">
        <f>I215-H215</f>
        <v/>
      </c>
      <c r="J216">
        <f>J215-I215</f>
        <v/>
      </c>
      <c r="K216">
        <f>K215-J215</f>
        <v/>
      </c>
      <c r="L216">
        <f>L215-K215</f>
        <v/>
      </c>
      <c r="M216">
        <f>M215-L215</f>
        <v/>
      </c>
      <c r="N216">
        <f>N215-M215</f>
        <v/>
      </c>
      <c r="O216">
        <f>O215-N215</f>
        <v/>
      </c>
      <c r="P216">
        <f>P215-O215</f>
        <v/>
      </c>
      <c r="Q216">
        <f>Q215-P215</f>
        <v/>
      </c>
      <c r="R216">
        <f>R215-Q215</f>
        <v/>
      </c>
    </row>
    <row r="217">
      <c r="A217" t="inlineStr">
        <is>
          <t>Free cash flow</t>
        </is>
      </c>
      <c r="C217">
        <f>C208-C209-C214-C210-C216-C212</f>
        <v/>
      </c>
      <c r="D217">
        <f>D208-D209-D214-D210-D216-D212</f>
        <v/>
      </c>
      <c r="E217">
        <f>E208-E209-E214-E210-E216-E212</f>
        <v/>
      </c>
      <c r="F217">
        <f>F208-F209-F214-F210-F216-F212</f>
        <v/>
      </c>
      <c r="G217">
        <f>G208-G209-G214-G210-G216-G212</f>
        <v/>
      </c>
      <c r="H217">
        <f>H208-H209-H214-H210-H216-H212</f>
        <v/>
      </c>
      <c r="I217">
        <f>I208-I209-I214-I210-I216-I212</f>
        <v/>
      </c>
      <c r="J217">
        <f>J208-J209-J214-J210-J216-J212</f>
        <v/>
      </c>
      <c r="K217">
        <f>K208-K209-K214-K210-K216-K212</f>
        <v/>
      </c>
      <c r="L217">
        <f>L208-L209-L214-L210-L216-L212</f>
        <v/>
      </c>
      <c r="M217">
        <f>M208-M209-M214-M210-M216-M212</f>
        <v/>
      </c>
      <c r="N217">
        <f>N208-N209-N214-N210-N216-N212</f>
        <v/>
      </c>
      <c r="O217">
        <f>O208-O209-O214-O210-O216-O212</f>
        <v/>
      </c>
      <c r="P217">
        <f>P208-P209-P214-P210-P216-P212</f>
        <v/>
      </c>
      <c r="Q217">
        <f>Q208-Q209-Q214-Q210-Q216-Q212</f>
        <v/>
      </c>
      <c r="R217">
        <f>R208-R209-R214-R210-R216-R212</f>
        <v/>
      </c>
    </row>
    <row r="218">
      <c r="A218" t="inlineStr">
        <is>
          <t>Discount factor</t>
        </is>
      </c>
      <c r="C218">
        <f>1/(1+discount_rate)^C194</f>
        <v/>
      </c>
      <c r="D218">
        <f>1/(1+discount_rate)^D194</f>
        <v/>
      </c>
      <c r="E218">
        <f>1/(1+discount_rate)^E194</f>
        <v/>
      </c>
      <c r="F218">
        <f>1/(1+discount_rate)^F194</f>
        <v/>
      </c>
      <c r="G218">
        <f>1/(1+discount_rate)^G194</f>
        <v/>
      </c>
      <c r="H218">
        <f>1/(1+discount_rate)^H194</f>
        <v/>
      </c>
      <c r="I218">
        <f>1/(1+discount_rate)^I194</f>
        <v/>
      </c>
      <c r="J218">
        <f>1/(1+discount_rate)^J194</f>
        <v/>
      </c>
      <c r="K218">
        <f>1/(1+discount_rate)^K194</f>
        <v/>
      </c>
      <c r="L218">
        <f>1/(1+discount_rate)^L194</f>
        <v/>
      </c>
      <c r="M218">
        <f>1/(1+discount_rate)^M194</f>
        <v/>
      </c>
      <c r="N218">
        <f>1/(1+discount_rate)^N194</f>
        <v/>
      </c>
      <c r="O218">
        <f>1/(1+discount_rate)^O194</f>
        <v/>
      </c>
      <c r="P218">
        <f>1/(1+discount_rate)^P194</f>
        <v/>
      </c>
      <c r="Q218">
        <f>1/(1+discount_rate)^Q194</f>
        <v/>
      </c>
      <c r="R218">
        <f>1/(1+discount_rate)^R194</f>
        <v/>
      </c>
    </row>
    <row r="219">
      <c r="A219" t="inlineStr">
        <is>
          <t>Present value</t>
        </is>
      </c>
      <c r="C219">
        <f>C217*C218</f>
        <v/>
      </c>
      <c r="D219">
        <f>D217*D218</f>
        <v/>
      </c>
      <c r="E219">
        <f>E217*E218</f>
        <v/>
      </c>
      <c r="F219">
        <f>F217*F218</f>
        <v/>
      </c>
      <c r="G219">
        <f>G217*G218</f>
        <v/>
      </c>
      <c r="H219">
        <f>H217*H218</f>
        <v/>
      </c>
      <c r="I219">
        <f>I217*I218</f>
        <v/>
      </c>
      <c r="J219">
        <f>J217*J218</f>
        <v/>
      </c>
      <c r="K219">
        <f>K217*K218</f>
        <v/>
      </c>
      <c r="L219">
        <f>L217*L218</f>
        <v/>
      </c>
      <c r="M219">
        <f>M217*M218</f>
        <v/>
      </c>
      <c r="N219">
        <f>N217*N218</f>
        <v/>
      </c>
      <c r="O219">
        <f>O217*O218</f>
        <v/>
      </c>
      <c r="P219">
        <f>P217*P218</f>
        <v/>
      </c>
      <c r="Q219">
        <f>Q217*Q218</f>
        <v/>
      </c>
      <c r="R219">
        <f>R217*R218</f>
        <v/>
      </c>
    </row>
    <row r="220">
      <c r="A220" t="inlineStr">
        <is>
          <t>Cumulative cash flow</t>
        </is>
      </c>
      <c r="C220">
        <f>C217</f>
        <v/>
      </c>
      <c r="D220">
        <f>C220+D217</f>
        <v/>
      </c>
      <c r="E220">
        <f>D220+E217</f>
        <v/>
      </c>
      <c r="F220">
        <f>E220+F217</f>
        <v/>
      </c>
      <c r="G220">
        <f>F220+G217</f>
        <v/>
      </c>
      <c r="H220">
        <f>G220+H217</f>
        <v/>
      </c>
      <c r="I220">
        <f>H220+I217</f>
        <v/>
      </c>
      <c r="J220">
        <f>I220+J217</f>
        <v/>
      </c>
      <c r="K220">
        <f>J220+K217</f>
        <v/>
      </c>
      <c r="L220">
        <f>K220+L217</f>
        <v/>
      </c>
      <c r="M220">
        <f>L220+M217</f>
        <v/>
      </c>
      <c r="N220">
        <f>M220+N217</f>
        <v/>
      </c>
      <c r="O220">
        <f>N220+O217</f>
        <v/>
      </c>
      <c r="P220">
        <f>O220+P217</f>
        <v/>
      </c>
      <c r="Q220">
        <f>P220+Q217</f>
        <v/>
      </c>
      <c r="R220">
        <f>Q220+R217</f>
        <v/>
      </c>
    </row>
    <row r="221">
      <c r="A221" t="inlineStr">
        <is>
          <t>Payback helper (months)</t>
        </is>
      </c>
      <c r="C221">
        <f>0</f>
        <v/>
      </c>
      <c r="D221">
        <f>IF(AND(C220&lt;0,D220&gt;=0),(D194-1+(-C220)/D217)*12,0)</f>
        <v/>
      </c>
      <c r="E221">
        <f>IF(AND(D220&lt;0,E220&gt;=0),(E194-1+(-D220)/E217)*12,0)</f>
        <v/>
      </c>
      <c r="F221">
        <f>IF(AND(E220&lt;0,F220&gt;=0),(F194-1+(-E220)/F217)*12,0)</f>
        <v/>
      </c>
      <c r="G221">
        <f>IF(AND(F220&lt;0,G220&gt;=0),(G194-1+(-F220)/G217)*12,0)</f>
        <v/>
      </c>
      <c r="H221">
        <f>IF(AND(G220&lt;0,H220&gt;=0),(H194-1+(-G220)/H217)*12,0)</f>
        <v/>
      </c>
      <c r="I221">
        <f>IF(AND(H220&lt;0,I220&gt;=0),(I194-1+(-H220)/I217)*12,0)</f>
        <v/>
      </c>
      <c r="J221">
        <f>IF(AND(I220&lt;0,J220&gt;=0),(J194-1+(-I220)/J217)*12,0)</f>
        <v/>
      </c>
      <c r="K221">
        <f>IF(AND(J220&lt;0,K220&gt;=0),(K194-1+(-J220)/K217)*12,0)</f>
        <v/>
      </c>
      <c r="L221">
        <f>IF(AND(K220&lt;0,L220&gt;=0),(L194-1+(-K220)/L217)*12,0)</f>
        <v/>
      </c>
      <c r="M221">
        <f>IF(AND(L220&lt;0,M220&gt;=0),(M194-1+(-L220)/M217)*12,0)</f>
        <v/>
      </c>
      <c r="N221">
        <f>IF(AND(M220&lt;0,N220&gt;=0),(N194-1+(-M220)/N217)*12,0)</f>
        <v/>
      </c>
      <c r="O221">
        <f>IF(AND(N220&lt;0,O220&gt;=0),(O194-1+(-N220)/O217)*12,0)</f>
        <v/>
      </c>
      <c r="P221">
        <f>IF(AND(O220&lt;0,P220&gt;=0),(P194-1+(-O220)/P217)*12,0)</f>
        <v/>
      </c>
      <c r="Q221">
        <f>IF(AND(P220&lt;0,Q220&gt;=0),(Q194-1+(-P220)/Q217)*12,0)</f>
        <v/>
      </c>
      <c r="R221">
        <f>IF(AND(Q220&lt;0,R220&gt;=0),(R194-1+(-Q220)/R217)*12,0)</f>
        <v/>
      </c>
    </row>
    <row r="223">
      <c r="A223" s="10" t="inlineStr">
        <is>
          <t>npv</t>
        </is>
      </c>
      <c r="B223" s="8">
        <f>SUM($C$219:$R$219)</f>
        <v/>
      </c>
    </row>
    <row r="224">
      <c r="A224" s="10" t="inlineStr">
        <is>
          <t>irr</t>
        </is>
      </c>
      <c r="B224" s="6">
        <f>IRR($C$217:$R$217)</f>
        <v/>
      </c>
    </row>
    <row r="225">
      <c r="A225" s="10" t="inlineStr">
        <is>
          <t>payback_months</t>
        </is>
      </c>
      <c r="B225" s="9">
        <f>IF(SUM($C$221:$R$221)=0,"n/a",SUM($C$221:$R$221))</f>
        <v/>
      </c>
    </row>
    <row r="228">
      <c r="A228" s="10" t="inlineStr">
        <is>
          <t>Tornado: mature_sales_density low (-20%)</t>
        </is>
      </c>
    </row>
    <row r="229">
      <c r="A229" t="inlineStr">
        <is>
          <t>param: density</t>
        </is>
      </c>
      <c r="B229">
        <f>mature_sales_density*0.8</f>
        <v/>
      </c>
    </row>
    <row r="230">
      <c r="A230" t="inlineStr">
        <is>
          <t>param: gm</t>
        </is>
      </c>
      <c r="B230">
        <f>product_gross_margin</f>
        <v/>
      </c>
    </row>
    <row r="231">
      <c r="A231" t="inlineStr">
        <is>
          <t>param: rent</t>
        </is>
      </c>
      <c r="B231">
        <f>rent_per_year</f>
        <v/>
      </c>
    </row>
    <row r="232">
      <c r="A232" t="inlineStr">
        <is>
          <t>param: capex</t>
        </is>
      </c>
      <c r="B232">
        <f>fitout_capex</f>
        <v/>
      </c>
    </row>
    <row r="233">
      <c r="A233" t="inlineStr">
        <is>
          <t>param: ramp1</t>
        </is>
      </c>
      <c r="B233">
        <f>ramp_year1</f>
        <v/>
      </c>
    </row>
    <row r="234">
      <c r="A234" t="inlineStr">
        <is>
          <t>param: ramp2</t>
        </is>
      </c>
      <c r="B234">
        <f>ramp_year2</f>
        <v/>
      </c>
    </row>
    <row r="235">
      <c r="A235" t="inlineStr">
        <is>
          <t>param: rent_mult</t>
        </is>
      </c>
      <c r="B235" t="n">
        <v>1</v>
      </c>
    </row>
    <row r="236">
      <c r="A236" t="inlineStr">
        <is>
          <t>param: payroll_mult</t>
        </is>
      </c>
      <c r="B236" t="n">
        <v>1</v>
      </c>
    </row>
    <row r="237">
      <c r="A237" t="inlineStr">
        <is>
          <t>param: ramp_mult</t>
        </is>
      </c>
      <c r="B237" t="n">
        <v>1</v>
      </c>
    </row>
    <row r="239">
      <c r="A239" t="inlineStr">
        <is>
          <t>Year</t>
        </is>
      </c>
      <c r="C239" t="n">
        <v>0</v>
      </c>
      <c r="D239" t="n">
        <v>1</v>
      </c>
      <c r="E239" t="n">
        <v>2</v>
      </c>
      <c r="F239" t="n">
        <v>3</v>
      </c>
      <c r="G239" t="n">
        <v>4</v>
      </c>
      <c r="H239" t="n">
        <v>5</v>
      </c>
      <c r="I239" t="n">
        <v>6</v>
      </c>
      <c r="J239" t="n">
        <v>7</v>
      </c>
      <c r="K239" t="n">
        <v>8</v>
      </c>
      <c r="L239" t="n">
        <v>9</v>
      </c>
      <c r="M239" t="n">
        <v>10</v>
      </c>
      <c r="N239" t="n">
        <v>11</v>
      </c>
      <c r="O239" t="n">
        <v>12</v>
      </c>
      <c r="P239" t="n">
        <v>13</v>
      </c>
      <c r="Q239" t="n">
        <v>14</v>
      </c>
      <c r="R239" t="n">
        <v>15</v>
      </c>
    </row>
    <row r="240">
      <c r="A240" t="inlineStr">
        <is>
          <t>Trading year flag</t>
        </is>
      </c>
      <c r="C240">
        <f>IF(AND(C239&gt;=1,C239&lt;=lease_term_years),1,0)</f>
        <v/>
      </c>
      <c r="D240">
        <f>IF(AND(D239&gt;=1,D239&lt;=lease_term_years),1,0)</f>
        <v/>
      </c>
      <c r="E240">
        <f>IF(AND(E239&gt;=1,E239&lt;=lease_term_years),1,0)</f>
        <v/>
      </c>
      <c r="F240">
        <f>IF(AND(F239&gt;=1,F239&lt;=lease_term_years),1,0)</f>
        <v/>
      </c>
      <c r="G240">
        <f>IF(AND(G239&gt;=1,G239&lt;=lease_term_years),1,0)</f>
        <v/>
      </c>
      <c r="H240">
        <f>IF(AND(H239&gt;=1,H239&lt;=lease_term_years),1,0)</f>
        <v/>
      </c>
      <c r="I240">
        <f>IF(AND(I239&gt;=1,I239&lt;=lease_term_years),1,0)</f>
        <v/>
      </c>
      <c r="J240">
        <f>IF(AND(J239&gt;=1,J239&lt;=lease_term_years),1,0)</f>
        <v/>
      </c>
      <c r="K240">
        <f>IF(AND(K239&gt;=1,K239&lt;=lease_term_years),1,0)</f>
        <v/>
      </c>
      <c r="L240">
        <f>IF(AND(L239&gt;=1,L239&lt;=lease_term_years),1,0)</f>
        <v/>
      </c>
      <c r="M240">
        <f>IF(AND(M239&gt;=1,M239&lt;=lease_term_years),1,0)</f>
        <v/>
      </c>
      <c r="N240">
        <f>IF(AND(N239&gt;=1,N239&lt;=lease_term_years),1,0)</f>
        <v/>
      </c>
      <c r="O240">
        <f>IF(AND(O239&gt;=1,O239&lt;=lease_term_years),1,0)</f>
        <v/>
      </c>
      <c r="P240">
        <f>IF(AND(P239&gt;=1,P239&lt;=lease_term_years),1,0)</f>
        <v/>
      </c>
      <c r="Q240">
        <f>IF(AND(Q239&gt;=1,Q239&lt;=lease_term_years),1,0)</f>
        <v/>
      </c>
      <c r="R240">
        <f>IF(AND(R239&gt;=1,R239&lt;=lease_term_years),1,0)</f>
        <v/>
      </c>
    </row>
    <row r="241">
      <c r="A241" t="inlineStr">
        <is>
          <t>Ramp-up (share of mature volume)</t>
        </is>
      </c>
      <c r="C241">
        <f>IF(C239=1,1-(1-$B$233)*$B$237,IF(C239=2,1-(1-$B$234)*$B$237,1))*C240</f>
        <v/>
      </c>
      <c r="D241">
        <f>IF(D239=1,1-(1-$B$233)*$B$237,IF(D239=2,1-(1-$B$234)*$B$237,1))*D240</f>
        <v/>
      </c>
      <c r="E241">
        <f>IF(E239=1,1-(1-$B$233)*$B$237,IF(E239=2,1-(1-$B$234)*$B$237,1))*E240</f>
        <v/>
      </c>
      <c r="F241">
        <f>IF(F239=1,1-(1-$B$233)*$B$237,IF(F239=2,1-(1-$B$234)*$B$237,1))*F240</f>
        <v/>
      </c>
      <c r="G241">
        <f>IF(G239=1,1-(1-$B$233)*$B$237,IF(G239=2,1-(1-$B$234)*$B$237,1))*G240</f>
        <v/>
      </c>
      <c r="H241">
        <f>IF(H239=1,1-(1-$B$233)*$B$237,IF(H239=2,1-(1-$B$234)*$B$237,1))*H240</f>
        <v/>
      </c>
      <c r="I241">
        <f>IF(I239=1,1-(1-$B$233)*$B$237,IF(I239=2,1-(1-$B$234)*$B$237,1))*I240</f>
        <v/>
      </c>
      <c r="J241">
        <f>IF(J239=1,1-(1-$B$233)*$B$237,IF(J239=2,1-(1-$B$234)*$B$237,1))*J240</f>
        <v/>
      </c>
      <c r="K241">
        <f>IF(K239=1,1-(1-$B$233)*$B$237,IF(K239=2,1-(1-$B$234)*$B$237,1))*K240</f>
        <v/>
      </c>
      <c r="L241">
        <f>IF(L239=1,1-(1-$B$233)*$B$237,IF(L239=2,1-(1-$B$234)*$B$237,1))*L240</f>
        <v/>
      </c>
      <c r="M241">
        <f>IF(M239=1,1-(1-$B$233)*$B$237,IF(M239=2,1-(1-$B$234)*$B$237,1))*M240</f>
        <v/>
      </c>
      <c r="N241">
        <f>IF(N239=1,1-(1-$B$233)*$B$237,IF(N239=2,1-(1-$B$234)*$B$237,1))*N240</f>
        <v/>
      </c>
      <c r="O241">
        <f>IF(O239=1,1-(1-$B$233)*$B$237,IF(O239=2,1-(1-$B$234)*$B$237,1))*O240</f>
        <v/>
      </c>
      <c r="P241">
        <f>IF(P239=1,1-(1-$B$233)*$B$237,IF(P239=2,1-(1-$B$234)*$B$237,1))*P240</f>
        <v/>
      </c>
      <c r="Q241">
        <f>IF(Q239=1,1-(1-$B$233)*$B$237,IF(Q239=2,1-(1-$B$234)*$B$237,1))*Q240</f>
        <v/>
      </c>
      <c r="R241">
        <f>IF(R239=1,1-(1-$B$233)*$B$237,IF(R239=2,1-(1-$B$234)*$B$237,1))*R240</f>
        <v/>
      </c>
    </row>
    <row r="242">
      <c r="A242" t="inlineStr">
        <is>
          <t>Sales volume (year-1 prices)</t>
        </is>
      </c>
      <c r="C242">
        <f>area_sqft*$B$229*C241</f>
        <v/>
      </c>
      <c r="D242">
        <f>area_sqft*$B$229*D241</f>
        <v/>
      </c>
      <c r="E242">
        <f>area_sqft*$B$229*E241</f>
        <v/>
      </c>
      <c r="F242">
        <f>area_sqft*$B$229*F241</f>
        <v/>
      </c>
      <c r="G242">
        <f>area_sqft*$B$229*G241</f>
        <v/>
      </c>
      <c r="H242">
        <f>area_sqft*$B$229*H241</f>
        <v/>
      </c>
      <c r="I242">
        <f>area_sqft*$B$229*I241</f>
        <v/>
      </c>
      <c r="J242">
        <f>area_sqft*$B$229*J241</f>
        <v/>
      </c>
      <c r="K242">
        <f>area_sqft*$B$229*K241</f>
        <v/>
      </c>
      <c r="L242">
        <f>area_sqft*$B$229*L241</f>
        <v/>
      </c>
      <c r="M242">
        <f>area_sqft*$B$229*M241</f>
        <v/>
      </c>
      <c r="N242">
        <f>area_sqft*$B$229*N241</f>
        <v/>
      </c>
      <c r="O242">
        <f>area_sqft*$B$229*O241</f>
        <v/>
      </c>
      <c r="P242">
        <f>area_sqft*$B$229*P241</f>
        <v/>
      </c>
      <c r="Q242">
        <f>area_sqft*$B$229*Q241</f>
        <v/>
      </c>
      <c r="R242">
        <f>area_sqft*$B$229*R241</f>
        <v/>
      </c>
    </row>
    <row r="243">
      <c r="A243" t="inlineStr">
        <is>
          <t>Sales growth index</t>
        </is>
      </c>
      <c r="C243">
        <f>IF(C240=1,(1+sales_growth)^(C239-1),0)</f>
        <v/>
      </c>
      <c r="D243">
        <f>IF(D240=1,(1+sales_growth)^(D239-1),0)</f>
        <v/>
      </c>
      <c r="E243">
        <f>IF(E240=1,(1+sales_growth)^(E239-1),0)</f>
        <v/>
      </c>
      <c r="F243">
        <f>IF(F240=1,(1+sales_growth)^(F239-1),0)</f>
        <v/>
      </c>
      <c r="G243">
        <f>IF(G240=1,(1+sales_growth)^(G239-1),0)</f>
        <v/>
      </c>
      <c r="H243">
        <f>IF(H240=1,(1+sales_growth)^(H239-1),0)</f>
        <v/>
      </c>
      <c r="I243">
        <f>IF(I240=1,(1+sales_growth)^(I239-1),0)</f>
        <v/>
      </c>
      <c r="J243">
        <f>IF(J240=1,(1+sales_growth)^(J239-1),0)</f>
        <v/>
      </c>
      <c r="K243">
        <f>IF(K240=1,(1+sales_growth)^(K239-1),0)</f>
        <v/>
      </c>
      <c r="L243">
        <f>IF(L240=1,(1+sales_growth)^(L239-1),0)</f>
        <v/>
      </c>
      <c r="M243">
        <f>IF(M240=1,(1+sales_growth)^(M239-1),0)</f>
        <v/>
      </c>
      <c r="N243">
        <f>IF(N240=1,(1+sales_growth)^(N239-1),0)</f>
        <v/>
      </c>
      <c r="O243">
        <f>IF(O240=1,(1+sales_growth)^(O239-1),0)</f>
        <v/>
      </c>
      <c r="P243">
        <f>IF(P240=1,(1+sales_growth)^(P239-1),0)</f>
        <v/>
      </c>
      <c r="Q243">
        <f>IF(Q240=1,(1+sales_growth)^(Q239-1),0)</f>
        <v/>
      </c>
      <c r="R243">
        <f>IF(R240=1,(1+sales_growth)^(R239-1),0)</f>
        <v/>
      </c>
    </row>
    <row r="244">
      <c r="A244" t="inlineStr">
        <is>
          <t>Sales</t>
        </is>
      </c>
      <c r="C244">
        <f>C242*C243</f>
        <v/>
      </c>
      <c r="D244">
        <f>D242*D243</f>
        <v/>
      </c>
      <c r="E244">
        <f>E242*E243</f>
        <v/>
      </c>
      <c r="F244">
        <f>F242*F243</f>
        <v/>
      </c>
      <c r="G244">
        <f>G242*G243</f>
        <v/>
      </c>
      <c r="H244">
        <f>H242*H243</f>
        <v/>
      </c>
      <c r="I244">
        <f>I242*I243</f>
        <v/>
      </c>
      <c r="J244">
        <f>J242*J243</f>
        <v/>
      </c>
      <c r="K244">
        <f>K242*K243</f>
        <v/>
      </c>
      <c r="L244">
        <f>L242*L243</f>
        <v/>
      </c>
      <c r="M244">
        <f>M242*M243</f>
        <v/>
      </c>
      <c r="N244">
        <f>N242*N243</f>
        <v/>
      </c>
      <c r="O244">
        <f>O242*O243</f>
        <v/>
      </c>
      <c r="P244">
        <f>P242*P243</f>
        <v/>
      </c>
      <c r="Q244">
        <f>Q242*Q243</f>
        <v/>
      </c>
      <c r="R244">
        <f>R242*R243</f>
        <v/>
      </c>
    </row>
    <row r="245">
      <c r="A245" t="inlineStr">
        <is>
          <t>Gross margin</t>
        </is>
      </c>
      <c r="C245">
        <f>C244*$B$230</f>
        <v/>
      </c>
      <c r="D245">
        <f>D244*$B$230</f>
        <v/>
      </c>
      <c r="E245">
        <f>E244*$B$230</f>
        <v/>
      </c>
      <c r="F245">
        <f>F244*$B$230</f>
        <v/>
      </c>
      <c r="G245">
        <f>G244*$B$230</f>
        <v/>
      </c>
      <c r="H245">
        <f>H244*$B$230</f>
        <v/>
      </c>
      <c r="I245">
        <f>I244*$B$230</f>
        <v/>
      </c>
      <c r="J245">
        <f>J244*$B$230</f>
        <v/>
      </c>
      <c r="K245">
        <f>K244*$B$230</f>
        <v/>
      </c>
      <c r="L245">
        <f>L244*$B$230</f>
        <v/>
      </c>
      <c r="M245">
        <f>M244*$B$230</f>
        <v/>
      </c>
      <c r="N245">
        <f>N244*$B$230</f>
        <v/>
      </c>
      <c r="O245">
        <f>O244*$B$230</f>
        <v/>
      </c>
      <c r="P245">
        <f>P244*$B$230</f>
        <v/>
      </c>
      <c r="Q245">
        <f>Q244*$B$230</f>
        <v/>
      </c>
      <c r="R245">
        <f>R244*$B$230</f>
        <v/>
      </c>
    </row>
    <row r="246">
      <c r="A246" t="inlineStr">
        <is>
          <t>Wage index</t>
        </is>
      </c>
      <c r="C246">
        <f>IF(C240=1,(1+wage_inflation)^(C239-1),0)</f>
        <v/>
      </c>
      <c r="D246">
        <f>IF(D240=1,(1+wage_inflation)^(D239-1),0)</f>
        <v/>
      </c>
      <c r="E246">
        <f>IF(E240=1,(1+wage_inflation)^(E239-1),0)</f>
        <v/>
      </c>
      <c r="F246">
        <f>IF(F240=1,(1+wage_inflation)^(F239-1),0)</f>
        <v/>
      </c>
      <c r="G246">
        <f>IF(G240=1,(1+wage_inflation)^(G239-1),0)</f>
        <v/>
      </c>
      <c r="H246">
        <f>IF(H240=1,(1+wage_inflation)^(H239-1),0)</f>
        <v/>
      </c>
      <c r="I246">
        <f>IF(I240=1,(1+wage_inflation)^(I239-1),0)</f>
        <v/>
      </c>
      <c r="J246">
        <f>IF(J240=1,(1+wage_inflation)^(J239-1),0)</f>
        <v/>
      </c>
      <c r="K246">
        <f>IF(K240=1,(1+wage_inflation)^(K239-1),0)</f>
        <v/>
      </c>
      <c r="L246">
        <f>IF(L240=1,(1+wage_inflation)^(L239-1),0)</f>
        <v/>
      </c>
      <c r="M246">
        <f>IF(M240=1,(1+wage_inflation)^(M239-1),0)</f>
        <v/>
      </c>
      <c r="N246">
        <f>IF(N240=1,(1+wage_inflation)^(N239-1),0)</f>
        <v/>
      </c>
      <c r="O246">
        <f>IF(O240=1,(1+wage_inflation)^(O239-1),0)</f>
        <v/>
      </c>
      <c r="P246">
        <f>IF(P240=1,(1+wage_inflation)^(P239-1),0)</f>
        <v/>
      </c>
      <c r="Q246">
        <f>IF(Q240=1,(1+wage_inflation)^(Q239-1),0)</f>
        <v/>
      </c>
      <c r="R246">
        <f>IF(R240=1,(1+wage_inflation)^(R239-1),0)</f>
        <v/>
      </c>
    </row>
    <row r="247">
      <c r="A247" t="inlineStr">
        <is>
          <t>Payroll</t>
        </is>
      </c>
      <c r="C247">
        <f>(fixed_payroll*C240+variable_cost_per_k*C242/1000)*C246*$B$236</f>
        <v/>
      </c>
      <c r="D247">
        <f>(fixed_payroll*D240+variable_cost_per_k*D242/1000)*D246*$B$236</f>
        <v/>
      </c>
      <c r="E247">
        <f>(fixed_payroll*E240+variable_cost_per_k*E242/1000)*E246*$B$236</f>
        <v/>
      </c>
      <c r="F247">
        <f>(fixed_payroll*F240+variable_cost_per_k*F242/1000)*F246*$B$236</f>
        <v/>
      </c>
      <c r="G247">
        <f>(fixed_payroll*G240+variable_cost_per_k*G242/1000)*G246*$B$236</f>
        <v/>
      </c>
      <c r="H247">
        <f>(fixed_payroll*H240+variable_cost_per_k*H242/1000)*H246*$B$236</f>
        <v/>
      </c>
      <c r="I247">
        <f>(fixed_payroll*I240+variable_cost_per_k*I242/1000)*I246*$B$236</f>
        <v/>
      </c>
      <c r="J247">
        <f>(fixed_payroll*J240+variable_cost_per_k*J242/1000)*J246*$B$236</f>
        <v/>
      </c>
      <c r="K247">
        <f>(fixed_payroll*K240+variable_cost_per_k*K242/1000)*K246*$B$236</f>
        <v/>
      </c>
      <c r="L247">
        <f>(fixed_payroll*L240+variable_cost_per_k*L242/1000)*L246*$B$236</f>
        <v/>
      </c>
      <c r="M247">
        <f>(fixed_payroll*M240+variable_cost_per_k*M242/1000)*M246*$B$236</f>
        <v/>
      </c>
      <c r="N247">
        <f>(fixed_payroll*N240+variable_cost_per_k*N242/1000)*N246*$B$236</f>
        <v/>
      </c>
      <c r="O247">
        <f>(fixed_payroll*O240+variable_cost_per_k*O242/1000)*O246*$B$236</f>
        <v/>
      </c>
      <c r="P247">
        <f>(fixed_payroll*P240+variable_cost_per_k*P242/1000)*P246*$B$236</f>
        <v/>
      </c>
      <c r="Q247">
        <f>(fixed_payroll*Q240+variable_cost_per_k*Q242/1000)*Q246*$B$236</f>
        <v/>
      </c>
      <c r="R247">
        <f>(fixed_payroll*R240+variable_cost_per_k*R242/1000)*R246*$B$236</f>
        <v/>
      </c>
    </row>
    <row r="248">
      <c r="A248" t="inlineStr">
        <is>
          <t>Rent</t>
        </is>
      </c>
      <c r="C248">
        <f>$B$231*(1+IF(C239&gt;=6,rent_review_uplift,0))*C240*$B$235</f>
        <v/>
      </c>
      <c r="D248">
        <f>$B$231*(1+IF(D239&gt;=6,rent_review_uplift,0))*D240*$B$235</f>
        <v/>
      </c>
      <c r="E248">
        <f>$B$231*(1+IF(E239&gt;=6,rent_review_uplift,0))*E240*$B$235</f>
        <v/>
      </c>
      <c r="F248">
        <f>$B$231*(1+IF(F239&gt;=6,rent_review_uplift,0))*F240*$B$235</f>
        <v/>
      </c>
      <c r="G248">
        <f>$B$231*(1+IF(G239&gt;=6,rent_review_uplift,0))*G240*$B$235</f>
        <v/>
      </c>
      <c r="H248">
        <f>$B$231*(1+IF(H239&gt;=6,rent_review_uplift,0))*H240*$B$235</f>
        <v/>
      </c>
      <c r="I248">
        <f>$B$231*(1+IF(I239&gt;=6,rent_review_uplift,0))*I240*$B$235</f>
        <v/>
      </c>
      <c r="J248">
        <f>$B$231*(1+IF(J239&gt;=6,rent_review_uplift,0))*J240*$B$235</f>
        <v/>
      </c>
      <c r="K248">
        <f>$B$231*(1+IF(K239&gt;=6,rent_review_uplift,0))*K240*$B$235</f>
        <v/>
      </c>
      <c r="L248">
        <f>$B$231*(1+IF(L239&gt;=6,rent_review_uplift,0))*L240*$B$235</f>
        <v/>
      </c>
      <c r="M248">
        <f>$B$231*(1+IF(M239&gt;=6,rent_review_uplift,0))*M240*$B$235</f>
        <v/>
      </c>
      <c r="N248">
        <f>$B$231*(1+IF(N239&gt;=6,rent_review_uplift,0))*N240*$B$235</f>
        <v/>
      </c>
      <c r="O248">
        <f>$B$231*(1+IF(O239&gt;=6,rent_review_uplift,0))*O240*$B$235</f>
        <v/>
      </c>
      <c r="P248">
        <f>$B$231*(1+IF(P239&gt;=6,rent_review_uplift,0))*P240*$B$235</f>
        <v/>
      </c>
      <c r="Q248">
        <f>$B$231*(1+IF(Q239&gt;=6,rent_review_uplift,0))*Q240*$B$235</f>
        <v/>
      </c>
      <c r="R248">
        <f>$B$231*(1+IF(R239&gt;=6,rent_review_uplift,0))*R240*$B$235</f>
        <v/>
      </c>
    </row>
    <row r="249">
      <c r="A249" t="inlineStr">
        <is>
          <t>Cost index</t>
        </is>
      </c>
      <c r="C249">
        <f>IF(C240=1,(1+cost_inflation)^(C239-1),0)</f>
        <v/>
      </c>
      <c r="D249">
        <f>IF(D240=1,(1+cost_inflation)^(D239-1),0)</f>
        <v/>
      </c>
      <c r="E249">
        <f>IF(E240=1,(1+cost_inflation)^(E239-1),0)</f>
        <v/>
      </c>
      <c r="F249">
        <f>IF(F240=1,(1+cost_inflation)^(F239-1),0)</f>
        <v/>
      </c>
      <c r="G249">
        <f>IF(G240=1,(1+cost_inflation)^(G239-1),0)</f>
        <v/>
      </c>
      <c r="H249">
        <f>IF(H240=1,(1+cost_inflation)^(H239-1),0)</f>
        <v/>
      </c>
      <c r="I249">
        <f>IF(I240=1,(1+cost_inflation)^(I239-1),0)</f>
        <v/>
      </c>
      <c r="J249">
        <f>IF(J240=1,(1+cost_inflation)^(J239-1),0)</f>
        <v/>
      </c>
      <c r="K249">
        <f>IF(K240=1,(1+cost_inflation)^(K239-1),0)</f>
        <v/>
      </c>
      <c r="L249">
        <f>IF(L240=1,(1+cost_inflation)^(L239-1),0)</f>
        <v/>
      </c>
      <c r="M249">
        <f>IF(M240=1,(1+cost_inflation)^(M239-1),0)</f>
        <v/>
      </c>
      <c r="N249">
        <f>IF(N240=1,(1+cost_inflation)^(N239-1),0)</f>
        <v/>
      </c>
      <c r="O249">
        <f>IF(O240=1,(1+cost_inflation)^(O239-1),0)</f>
        <v/>
      </c>
      <c r="P249">
        <f>IF(P240=1,(1+cost_inflation)^(P239-1),0)</f>
        <v/>
      </c>
      <c r="Q249">
        <f>IF(Q240=1,(1+cost_inflation)^(Q239-1),0)</f>
        <v/>
      </c>
      <c r="R249">
        <f>IF(R240=1,(1+cost_inflation)^(R239-1),0)</f>
        <v/>
      </c>
    </row>
    <row r="250">
      <c r="A250" t="inlineStr">
        <is>
          <t>Business rates</t>
        </is>
      </c>
      <c r="C250">
        <f>rateable_value*IF(rateable_value&lt;51000,rates_multiplier_rhl_small,IF(rateable_value&lt;500000,rates_multiplier_rhl_standard,rates_multiplier_high_value))*C249</f>
        <v/>
      </c>
      <c r="D250">
        <f>rateable_value*IF(rateable_value&lt;51000,rates_multiplier_rhl_small,IF(rateable_value&lt;500000,rates_multiplier_rhl_standard,rates_multiplier_high_value))*D249</f>
        <v/>
      </c>
      <c r="E250">
        <f>rateable_value*IF(rateable_value&lt;51000,rates_multiplier_rhl_small,IF(rateable_value&lt;500000,rates_multiplier_rhl_standard,rates_multiplier_high_value))*E249</f>
        <v/>
      </c>
      <c r="F250">
        <f>rateable_value*IF(rateable_value&lt;51000,rates_multiplier_rhl_small,IF(rateable_value&lt;500000,rates_multiplier_rhl_standard,rates_multiplier_high_value))*F249</f>
        <v/>
      </c>
      <c r="G250">
        <f>rateable_value*IF(rateable_value&lt;51000,rates_multiplier_rhl_small,IF(rateable_value&lt;500000,rates_multiplier_rhl_standard,rates_multiplier_high_value))*G249</f>
        <v/>
      </c>
      <c r="H250">
        <f>rateable_value*IF(rateable_value&lt;51000,rates_multiplier_rhl_small,IF(rateable_value&lt;500000,rates_multiplier_rhl_standard,rates_multiplier_high_value))*H249</f>
        <v/>
      </c>
      <c r="I250">
        <f>rateable_value*IF(rateable_value&lt;51000,rates_multiplier_rhl_small,IF(rateable_value&lt;500000,rates_multiplier_rhl_standard,rates_multiplier_high_value))*I249</f>
        <v/>
      </c>
      <c r="J250">
        <f>rateable_value*IF(rateable_value&lt;51000,rates_multiplier_rhl_small,IF(rateable_value&lt;500000,rates_multiplier_rhl_standard,rates_multiplier_high_value))*J249</f>
        <v/>
      </c>
      <c r="K250">
        <f>rateable_value*IF(rateable_value&lt;51000,rates_multiplier_rhl_small,IF(rateable_value&lt;500000,rates_multiplier_rhl_standard,rates_multiplier_high_value))*K249</f>
        <v/>
      </c>
      <c r="L250">
        <f>rateable_value*IF(rateable_value&lt;51000,rates_multiplier_rhl_small,IF(rateable_value&lt;500000,rates_multiplier_rhl_standard,rates_multiplier_high_value))*L249</f>
        <v/>
      </c>
      <c r="M250">
        <f>rateable_value*IF(rateable_value&lt;51000,rates_multiplier_rhl_small,IF(rateable_value&lt;500000,rates_multiplier_rhl_standard,rates_multiplier_high_value))*M249</f>
        <v/>
      </c>
      <c r="N250">
        <f>rateable_value*IF(rateable_value&lt;51000,rates_multiplier_rhl_small,IF(rateable_value&lt;500000,rates_multiplier_rhl_standard,rates_multiplier_high_value))*N249</f>
        <v/>
      </c>
      <c r="O250">
        <f>rateable_value*IF(rateable_value&lt;51000,rates_multiplier_rhl_small,IF(rateable_value&lt;500000,rates_multiplier_rhl_standard,rates_multiplier_high_value))*O249</f>
        <v/>
      </c>
      <c r="P250">
        <f>rateable_value*IF(rateable_value&lt;51000,rates_multiplier_rhl_small,IF(rateable_value&lt;500000,rates_multiplier_rhl_standard,rates_multiplier_high_value))*P249</f>
        <v/>
      </c>
      <c r="Q250">
        <f>rateable_value*IF(rateable_value&lt;51000,rates_multiplier_rhl_small,IF(rateable_value&lt;500000,rates_multiplier_rhl_standard,rates_multiplier_high_value))*Q249</f>
        <v/>
      </c>
      <c r="R250">
        <f>rateable_value*IF(rateable_value&lt;51000,rates_multiplier_rhl_small,IF(rateable_value&lt;500000,rates_multiplier_rhl_standard,rates_multiplier_high_value))*R249</f>
        <v/>
      </c>
    </row>
    <row r="251">
      <c r="A251" t="inlineStr">
        <is>
          <t>Service charge, utilities, insurance</t>
        </is>
      </c>
      <c r="C251">
        <f>occupancy_other_psf*area_sqft*C249</f>
        <v/>
      </c>
      <c r="D251">
        <f>occupancy_other_psf*area_sqft*D249</f>
        <v/>
      </c>
      <c r="E251">
        <f>occupancy_other_psf*area_sqft*E249</f>
        <v/>
      </c>
      <c r="F251">
        <f>occupancy_other_psf*area_sqft*F249</f>
        <v/>
      </c>
      <c r="G251">
        <f>occupancy_other_psf*area_sqft*G249</f>
        <v/>
      </c>
      <c r="H251">
        <f>occupancy_other_psf*area_sqft*H249</f>
        <v/>
      </c>
      <c r="I251">
        <f>occupancy_other_psf*area_sqft*I249</f>
        <v/>
      </c>
      <c r="J251">
        <f>occupancy_other_psf*area_sqft*J249</f>
        <v/>
      </c>
      <c r="K251">
        <f>occupancy_other_psf*area_sqft*K249</f>
        <v/>
      </c>
      <c r="L251">
        <f>occupancy_other_psf*area_sqft*L249</f>
        <v/>
      </c>
      <c r="M251">
        <f>occupancy_other_psf*area_sqft*M249</f>
        <v/>
      </c>
      <c r="N251">
        <f>occupancy_other_psf*area_sqft*N249</f>
        <v/>
      </c>
      <c r="O251">
        <f>occupancy_other_psf*area_sqft*O249</f>
        <v/>
      </c>
      <c r="P251">
        <f>occupancy_other_psf*area_sqft*P249</f>
        <v/>
      </c>
      <c r="Q251">
        <f>occupancy_other_psf*area_sqft*Q249</f>
        <v/>
      </c>
      <c r="R251">
        <f>occupancy_other_psf*area_sqft*R249</f>
        <v/>
      </c>
    </row>
    <row r="252">
      <c r="A252" t="inlineStr">
        <is>
          <t>Other store opex</t>
        </is>
      </c>
      <c r="C252">
        <f>C244*other_opex_pct_sales</f>
        <v/>
      </c>
      <c r="D252">
        <f>D244*other_opex_pct_sales</f>
        <v/>
      </c>
      <c r="E252">
        <f>E244*other_opex_pct_sales</f>
        <v/>
      </c>
      <c r="F252">
        <f>F244*other_opex_pct_sales</f>
        <v/>
      </c>
      <c r="G252">
        <f>G244*other_opex_pct_sales</f>
        <v/>
      </c>
      <c r="H252">
        <f>H244*other_opex_pct_sales</f>
        <v/>
      </c>
      <c r="I252">
        <f>I244*other_opex_pct_sales</f>
        <v/>
      </c>
      <c r="J252">
        <f>J244*other_opex_pct_sales</f>
        <v/>
      </c>
      <c r="K252">
        <f>K244*other_opex_pct_sales</f>
        <v/>
      </c>
      <c r="L252">
        <f>L244*other_opex_pct_sales</f>
        <v/>
      </c>
      <c r="M252">
        <f>M244*other_opex_pct_sales</f>
        <v/>
      </c>
      <c r="N252">
        <f>N244*other_opex_pct_sales</f>
        <v/>
      </c>
      <c r="O252">
        <f>O244*other_opex_pct_sales</f>
        <v/>
      </c>
      <c r="P252">
        <f>P244*other_opex_pct_sales</f>
        <v/>
      </c>
      <c r="Q252">
        <f>Q244*other_opex_pct_sales</f>
        <v/>
      </c>
      <c r="R252">
        <f>R244*other_opex_pct_sales</f>
        <v/>
      </c>
    </row>
    <row r="253">
      <c r="A253" t="inlineStr">
        <is>
          <t>Store EBITDA (4-wall)</t>
        </is>
      </c>
      <c r="C253">
        <f>C245-C247-C248-C250-C251-C252</f>
        <v/>
      </c>
      <c r="D253">
        <f>D245-D247-D248-D250-D251-D252</f>
        <v/>
      </c>
      <c r="E253">
        <f>E245-E247-E248-E250-E251-E252</f>
        <v/>
      </c>
      <c r="F253">
        <f>F245-F247-F248-F250-F251-F252</f>
        <v/>
      </c>
      <c r="G253">
        <f>G245-G247-G248-G250-G251-G252</f>
        <v/>
      </c>
      <c r="H253">
        <f>H245-H247-H248-H250-H251-H252</f>
        <v/>
      </c>
      <c r="I253">
        <f>I245-I247-I248-I250-I251-I252</f>
        <v/>
      </c>
      <c r="J253">
        <f>J245-J247-J248-J250-J251-J252</f>
        <v/>
      </c>
      <c r="K253">
        <f>K245-K247-K248-K250-K251-K252</f>
        <v/>
      </c>
      <c r="L253">
        <f>L245-L247-L248-L250-L251-L252</f>
        <v/>
      </c>
      <c r="M253">
        <f>M245-M247-M248-M250-M251-M252</f>
        <v/>
      </c>
      <c r="N253">
        <f>N245-N247-N248-N250-N251-N252</f>
        <v/>
      </c>
      <c r="O253">
        <f>O245-O247-O248-O250-O251-O252</f>
        <v/>
      </c>
      <c r="P253">
        <f>P245-P247-P248-P250-P251-P252</f>
        <v/>
      </c>
      <c r="Q253">
        <f>Q245-Q247-Q248-Q250-Q251-Q252</f>
        <v/>
      </c>
      <c r="R253">
        <f>R245-R247-R248-R250-R251-R252</f>
        <v/>
      </c>
    </row>
    <row r="254">
      <c r="A254" t="inlineStr">
        <is>
          <t>Pre-opening costs</t>
        </is>
      </c>
      <c r="C254">
        <f>IF(C239=0,pre_opening_costs,0)</f>
        <v/>
      </c>
      <c r="D254">
        <f>IF(D239=0,pre_opening_costs,0)</f>
        <v/>
      </c>
      <c r="E254">
        <f>IF(E239=0,pre_opening_costs,0)</f>
        <v/>
      </c>
      <c r="F254">
        <f>IF(F239=0,pre_opening_costs,0)</f>
        <v/>
      </c>
      <c r="G254">
        <f>IF(G239=0,pre_opening_costs,0)</f>
        <v/>
      </c>
      <c r="H254">
        <f>IF(H239=0,pre_opening_costs,0)</f>
        <v/>
      </c>
      <c r="I254">
        <f>IF(I239=0,pre_opening_costs,0)</f>
        <v/>
      </c>
      <c r="J254">
        <f>IF(J239=0,pre_opening_costs,0)</f>
        <v/>
      </c>
      <c r="K254">
        <f>IF(K239=0,pre_opening_costs,0)</f>
        <v/>
      </c>
      <c r="L254">
        <f>IF(L239=0,pre_opening_costs,0)</f>
        <v/>
      </c>
      <c r="M254">
        <f>IF(M239=0,pre_opening_costs,0)</f>
        <v/>
      </c>
      <c r="N254">
        <f>IF(N239=0,pre_opening_costs,0)</f>
        <v/>
      </c>
      <c r="O254">
        <f>IF(O239=0,pre_opening_costs,0)</f>
        <v/>
      </c>
      <c r="P254">
        <f>IF(P239=0,pre_opening_costs,0)</f>
        <v/>
      </c>
      <c r="Q254">
        <f>IF(Q239=0,pre_opening_costs,0)</f>
        <v/>
      </c>
      <c r="R254">
        <f>IF(R239=0,pre_opening_costs,0)</f>
        <v/>
      </c>
    </row>
    <row r="255">
      <c r="A255" t="inlineStr">
        <is>
          <t>Fit-out capex</t>
        </is>
      </c>
      <c r="C255">
        <f>IF(C239=0,$B$232,0)</f>
        <v/>
      </c>
      <c r="D255">
        <f>IF(D239=0,$B$232,0)</f>
        <v/>
      </c>
      <c r="E255">
        <f>IF(E239=0,$B$232,0)</f>
        <v/>
      </c>
      <c r="F255">
        <f>IF(F239=0,$B$232,0)</f>
        <v/>
      </c>
      <c r="G255">
        <f>IF(G239=0,$B$232,0)</f>
        <v/>
      </c>
      <c r="H255">
        <f>IF(H239=0,$B$232,0)</f>
        <v/>
      </c>
      <c r="I255">
        <f>IF(I239=0,$B$232,0)</f>
        <v/>
      </c>
      <c r="J255">
        <f>IF(J239=0,$B$232,0)</f>
        <v/>
      </c>
      <c r="K255">
        <f>IF(K239=0,$B$232,0)</f>
        <v/>
      </c>
      <c r="L255">
        <f>IF(L239=0,$B$232,0)</f>
        <v/>
      </c>
      <c r="M255">
        <f>IF(M239=0,$B$232,0)</f>
        <v/>
      </c>
      <c r="N255">
        <f>IF(N239=0,$B$232,0)</f>
        <v/>
      </c>
      <c r="O255">
        <f>IF(O239=0,$B$232,0)</f>
        <v/>
      </c>
      <c r="P255">
        <f>IF(P239=0,$B$232,0)</f>
        <v/>
      </c>
      <c r="Q255">
        <f>IF(Q239=0,$B$232,0)</f>
        <v/>
      </c>
      <c r="R255">
        <f>IF(R239=0,$B$232,0)</f>
        <v/>
      </c>
    </row>
    <row r="256">
      <c r="A256" t="inlineStr">
        <is>
          <t>Tax depreciation</t>
        </is>
      </c>
      <c r="C256">
        <f>IF(AND(C239&gt;=1,C239&lt;=tax_depreciation_years,C239&lt;=lease_term_years),$B$232/tax_depreciation_years,0)</f>
        <v/>
      </c>
      <c r="D256">
        <f>IF(AND(D239&gt;=1,D239&lt;=tax_depreciation_years,D239&lt;=lease_term_years),$B$232/tax_depreciation_years,0)</f>
        <v/>
      </c>
      <c r="E256">
        <f>IF(AND(E239&gt;=1,E239&lt;=tax_depreciation_years,E239&lt;=lease_term_years),$B$232/tax_depreciation_years,0)</f>
        <v/>
      </c>
      <c r="F256">
        <f>IF(AND(F239&gt;=1,F239&lt;=tax_depreciation_years,F239&lt;=lease_term_years),$B$232/tax_depreciation_years,0)</f>
        <v/>
      </c>
      <c r="G256">
        <f>IF(AND(G239&gt;=1,G239&lt;=tax_depreciation_years,G239&lt;=lease_term_years),$B$232/tax_depreciation_years,0)</f>
        <v/>
      </c>
      <c r="H256">
        <f>IF(AND(H239&gt;=1,H239&lt;=tax_depreciation_years,H239&lt;=lease_term_years),$B$232/tax_depreciation_years,0)</f>
        <v/>
      </c>
      <c r="I256">
        <f>IF(AND(I239&gt;=1,I239&lt;=tax_depreciation_years,I239&lt;=lease_term_years),$B$232/tax_depreciation_years,0)</f>
        <v/>
      </c>
      <c r="J256">
        <f>IF(AND(J239&gt;=1,J239&lt;=tax_depreciation_years,J239&lt;=lease_term_years),$B$232/tax_depreciation_years,0)</f>
        <v/>
      </c>
      <c r="K256">
        <f>IF(AND(K239&gt;=1,K239&lt;=tax_depreciation_years,K239&lt;=lease_term_years),$B$232/tax_depreciation_years,0)</f>
        <v/>
      </c>
      <c r="L256">
        <f>IF(AND(L239&gt;=1,L239&lt;=tax_depreciation_years,L239&lt;=lease_term_years),$B$232/tax_depreciation_years,0)</f>
        <v/>
      </c>
      <c r="M256">
        <f>IF(AND(M239&gt;=1,M239&lt;=tax_depreciation_years,M239&lt;=lease_term_years),$B$232/tax_depreciation_years,0)</f>
        <v/>
      </c>
      <c r="N256">
        <f>IF(AND(N239&gt;=1,N239&lt;=tax_depreciation_years,N239&lt;=lease_term_years),$B$232/tax_depreciation_years,0)</f>
        <v/>
      </c>
      <c r="O256">
        <f>IF(AND(O239&gt;=1,O239&lt;=tax_depreciation_years,O239&lt;=lease_term_years),$B$232/tax_depreciation_years,0)</f>
        <v/>
      </c>
      <c r="P256">
        <f>IF(AND(P239&gt;=1,P239&lt;=tax_depreciation_years,P239&lt;=lease_term_years),$B$232/tax_depreciation_years,0)</f>
        <v/>
      </c>
      <c r="Q256">
        <f>IF(AND(Q239&gt;=1,Q239&lt;=tax_depreciation_years,Q239&lt;=lease_term_years),$B$232/tax_depreciation_years,0)</f>
        <v/>
      </c>
      <c r="R256">
        <f>IF(AND(R239&gt;=1,R239&lt;=tax_depreciation_years,R239&lt;=lease_term_years),$B$232/tax_depreciation_years,0)</f>
        <v/>
      </c>
    </row>
    <row r="257">
      <c r="A257" t="inlineStr">
        <is>
          <t>Dilapidations</t>
        </is>
      </c>
      <c r="C257">
        <f>IF(C239=lease_term_years,dilapidations_at_exit,0)</f>
        <v/>
      </c>
      <c r="D257">
        <f>IF(D239=lease_term_years,dilapidations_at_exit,0)</f>
        <v/>
      </c>
      <c r="E257">
        <f>IF(E239=lease_term_years,dilapidations_at_exit,0)</f>
        <v/>
      </c>
      <c r="F257">
        <f>IF(F239=lease_term_years,dilapidations_at_exit,0)</f>
        <v/>
      </c>
      <c r="G257">
        <f>IF(G239=lease_term_years,dilapidations_at_exit,0)</f>
        <v/>
      </c>
      <c r="H257">
        <f>IF(H239=lease_term_years,dilapidations_at_exit,0)</f>
        <v/>
      </c>
      <c r="I257">
        <f>IF(I239=lease_term_years,dilapidations_at_exit,0)</f>
        <v/>
      </c>
      <c r="J257">
        <f>IF(J239=lease_term_years,dilapidations_at_exit,0)</f>
        <v/>
      </c>
      <c r="K257">
        <f>IF(K239=lease_term_years,dilapidations_at_exit,0)</f>
        <v/>
      </c>
      <c r="L257">
        <f>IF(L239=lease_term_years,dilapidations_at_exit,0)</f>
        <v/>
      </c>
      <c r="M257">
        <f>IF(M239=lease_term_years,dilapidations_at_exit,0)</f>
        <v/>
      </c>
      <c r="N257">
        <f>IF(N239=lease_term_years,dilapidations_at_exit,0)</f>
        <v/>
      </c>
      <c r="O257">
        <f>IF(O239=lease_term_years,dilapidations_at_exit,0)</f>
        <v/>
      </c>
      <c r="P257">
        <f>IF(P239=lease_term_years,dilapidations_at_exit,0)</f>
        <v/>
      </c>
      <c r="Q257">
        <f>IF(Q239=lease_term_years,dilapidations_at_exit,0)</f>
        <v/>
      </c>
      <c r="R257">
        <f>IF(R239=lease_term_years,dilapidations_at_exit,0)</f>
        <v/>
      </c>
    </row>
    <row r="258">
      <c r="A258" t="inlineStr">
        <is>
          <t>Taxable profit</t>
        </is>
      </c>
      <c r="C258">
        <f>C253-C254-C256-C257</f>
        <v/>
      </c>
      <c r="D258">
        <f>D253-D254-D256-D257</f>
        <v/>
      </c>
      <c r="E258">
        <f>E253-E254-E256-E257</f>
        <v/>
      </c>
      <c r="F258">
        <f>F253-F254-F256-F257</f>
        <v/>
      </c>
      <c r="G258">
        <f>G253-G254-G256-G257</f>
        <v/>
      </c>
      <c r="H258">
        <f>H253-H254-H256-H257</f>
        <v/>
      </c>
      <c r="I258">
        <f>I253-I254-I256-I257</f>
        <v/>
      </c>
      <c r="J258">
        <f>J253-J254-J256-J257</f>
        <v/>
      </c>
      <c r="K258">
        <f>K253-K254-K256-K257</f>
        <v/>
      </c>
      <c r="L258">
        <f>L253-L254-L256-L257</f>
        <v/>
      </c>
      <c r="M258">
        <f>M253-M254-M256-M257</f>
        <v/>
      </c>
      <c r="N258">
        <f>N253-N254-N256-N257</f>
        <v/>
      </c>
      <c r="O258">
        <f>O253-O254-O256-O257</f>
        <v/>
      </c>
      <c r="P258">
        <f>P253-P254-P256-P257</f>
        <v/>
      </c>
      <c r="Q258">
        <f>Q253-Q254-Q256-Q257</f>
        <v/>
      </c>
      <c r="R258">
        <f>R253-R254-R256-R257</f>
        <v/>
      </c>
    </row>
    <row r="259">
      <c r="A259" t="inlineStr">
        <is>
          <t>Tax (negative = group relief)</t>
        </is>
      </c>
      <c r="C259">
        <f>C258*tax_rate</f>
        <v/>
      </c>
      <c r="D259">
        <f>D258*tax_rate</f>
        <v/>
      </c>
      <c r="E259">
        <f>E258*tax_rate</f>
        <v/>
      </c>
      <c r="F259">
        <f>F258*tax_rate</f>
        <v/>
      </c>
      <c r="G259">
        <f>G258*tax_rate</f>
        <v/>
      </c>
      <c r="H259">
        <f>H258*tax_rate</f>
        <v/>
      </c>
      <c r="I259">
        <f>I258*tax_rate</f>
        <v/>
      </c>
      <c r="J259">
        <f>J258*tax_rate</f>
        <v/>
      </c>
      <c r="K259">
        <f>K258*tax_rate</f>
        <v/>
      </c>
      <c r="L259">
        <f>L258*tax_rate</f>
        <v/>
      </c>
      <c r="M259">
        <f>M258*tax_rate</f>
        <v/>
      </c>
      <c r="N259">
        <f>N258*tax_rate</f>
        <v/>
      </c>
      <c r="O259">
        <f>O258*tax_rate</f>
        <v/>
      </c>
      <c r="P259">
        <f>P258*tax_rate</f>
        <v/>
      </c>
      <c r="Q259">
        <f>Q258*tax_rate</f>
        <v/>
      </c>
      <c r="R259">
        <f>R258*tax_rate</f>
        <v/>
      </c>
    </row>
    <row r="260">
      <c r="A260" t="inlineStr">
        <is>
          <t>Stock held</t>
        </is>
      </c>
      <c r="C260">
        <f>IF(C239&lt;lease_term_years,stock_pct_sales*D244,0)</f>
        <v/>
      </c>
      <c r="D260">
        <f>IF(D239&lt;lease_term_years,stock_pct_sales*E244,0)</f>
        <v/>
      </c>
      <c r="E260">
        <f>IF(E239&lt;lease_term_years,stock_pct_sales*F244,0)</f>
        <v/>
      </c>
      <c r="F260">
        <f>IF(F239&lt;lease_term_years,stock_pct_sales*G244,0)</f>
        <v/>
      </c>
      <c r="G260">
        <f>IF(G239&lt;lease_term_years,stock_pct_sales*H244,0)</f>
        <v/>
      </c>
      <c r="H260">
        <f>IF(H239&lt;lease_term_years,stock_pct_sales*I244,0)</f>
        <v/>
      </c>
      <c r="I260">
        <f>IF(I239&lt;lease_term_years,stock_pct_sales*J244,0)</f>
        <v/>
      </c>
      <c r="J260">
        <f>IF(J239&lt;lease_term_years,stock_pct_sales*K244,0)</f>
        <v/>
      </c>
      <c r="K260">
        <f>IF(K239&lt;lease_term_years,stock_pct_sales*L244,0)</f>
        <v/>
      </c>
      <c r="L260">
        <f>IF(L239&lt;lease_term_years,stock_pct_sales*M244,0)</f>
        <v/>
      </c>
      <c r="M260">
        <f>IF(M239&lt;lease_term_years,stock_pct_sales*N244,0)</f>
        <v/>
      </c>
      <c r="N260">
        <f>IF(N239&lt;lease_term_years,stock_pct_sales*O244,0)</f>
        <v/>
      </c>
      <c r="O260">
        <f>IF(O239&lt;lease_term_years,stock_pct_sales*P244,0)</f>
        <v/>
      </c>
      <c r="P260">
        <f>IF(P239&lt;lease_term_years,stock_pct_sales*Q244,0)</f>
        <v/>
      </c>
      <c r="Q260">
        <f>IF(Q239&lt;lease_term_years,stock_pct_sales*R244,0)</f>
        <v/>
      </c>
      <c r="R260">
        <f>0</f>
        <v/>
      </c>
    </row>
    <row r="261">
      <c r="A261" t="inlineStr">
        <is>
          <t>Change in stock</t>
        </is>
      </c>
      <c r="C261">
        <f>C260</f>
        <v/>
      </c>
      <c r="D261">
        <f>D260-C260</f>
        <v/>
      </c>
      <c r="E261">
        <f>E260-D260</f>
        <v/>
      </c>
      <c r="F261">
        <f>F260-E260</f>
        <v/>
      </c>
      <c r="G261">
        <f>G260-F260</f>
        <v/>
      </c>
      <c r="H261">
        <f>H260-G260</f>
        <v/>
      </c>
      <c r="I261">
        <f>I260-H260</f>
        <v/>
      </c>
      <c r="J261">
        <f>J260-I260</f>
        <v/>
      </c>
      <c r="K261">
        <f>K260-J260</f>
        <v/>
      </c>
      <c r="L261">
        <f>L260-K260</f>
        <v/>
      </c>
      <c r="M261">
        <f>M260-L260</f>
        <v/>
      </c>
      <c r="N261">
        <f>N260-M260</f>
        <v/>
      </c>
      <c r="O261">
        <f>O260-N260</f>
        <v/>
      </c>
      <c r="P261">
        <f>P260-O260</f>
        <v/>
      </c>
      <c r="Q261">
        <f>Q260-P260</f>
        <v/>
      </c>
      <c r="R261">
        <f>R260-Q260</f>
        <v/>
      </c>
    </row>
    <row r="262">
      <c r="A262" t="inlineStr">
        <is>
          <t>Free cash flow</t>
        </is>
      </c>
      <c r="C262">
        <f>C253-C254-C259-C255-C261-C257</f>
        <v/>
      </c>
      <c r="D262">
        <f>D253-D254-D259-D255-D261-D257</f>
        <v/>
      </c>
      <c r="E262">
        <f>E253-E254-E259-E255-E261-E257</f>
        <v/>
      </c>
      <c r="F262">
        <f>F253-F254-F259-F255-F261-F257</f>
        <v/>
      </c>
      <c r="G262">
        <f>G253-G254-G259-G255-G261-G257</f>
        <v/>
      </c>
      <c r="H262">
        <f>H253-H254-H259-H255-H261-H257</f>
        <v/>
      </c>
      <c r="I262">
        <f>I253-I254-I259-I255-I261-I257</f>
        <v/>
      </c>
      <c r="J262">
        <f>J253-J254-J259-J255-J261-J257</f>
        <v/>
      </c>
      <c r="K262">
        <f>K253-K254-K259-K255-K261-K257</f>
        <v/>
      </c>
      <c r="L262">
        <f>L253-L254-L259-L255-L261-L257</f>
        <v/>
      </c>
      <c r="M262">
        <f>M253-M254-M259-M255-M261-M257</f>
        <v/>
      </c>
      <c r="N262">
        <f>N253-N254-N259-N255-N261-N257</f>
        <v/>
      </c>
      <c r="O262">
        <f>O253-O254-O259-O255-O261-O257</f>
        <v/>
      </c>
      <c r="P262">
        <f>P253-P254-P259-P255-P261-P257</f>
        <v/>
      </c>
      <c r="Q262">
        <f>Q253-Q254-Q259-Q255-Q261-Q257</f>
        <v/>
      </c>
      <c r="R262">
        <f>R253-R254-R259-R255-R261-R257</f>
        <v/>
      </c>
    </row>
    <row r="263">
      <c r="A263" t="inlineStr">
        <is>
          <t>Discount factor</t>
        </is>
      </c>
      <c r="C263">
        <f>1/(1+discount_rate)^C239</f>
        <v/>
      </c>
      <c r="D263">
        <f>1/(1+discount_rate)^D239</f>
        <v/>
      </c>
      <c r="E263">
        <f>1/(1+discount_rate)^E239</f>
        <v/>
      </c>
      <c r="F263">
        <f>1/(1+discount_rate)^F239</f>
        <v/>
      </c>
      <c r="G263">
        <f>1/(1+discount_rate)^G239</f>
        <v/>
      </c>
      <c r="H263">
        <f>1/(1+discount_rate)^H239</f>
        <v/>
      </c>
      <c r="I263">
        <f>1/(1+discount_rate)^I239</f>
        <v/>
      </c>
      <c r="J263">
        <f>1/(1+discount_rate)^J239</f>
        <v/>
      </c>
      <c r="K263">
        <f>1/(1+discount_rate)^K239</f>
        <v/>
      </c>
      <c r="L263">
        <f>1/(1+discount_rate)^L239</f>
        <v/>
      </c>
      <c r="M263">
        <f>1/(1+discount_rate)^M239</f>
        <v/>
      </c>
      <c r="N263">
        <f>1/(1+discount_rate)^N239</f>
        <v/>
      </c>
      <c r="O263">
        <f>1/(1+discount_rate)^O239</f>
        <v/>
      </c>
      <c r="P263">
        <f>1/(1+discount_rate)^P239</f>
        <v/>
      </c>
      <c r="Q263">
        <f>1/(1+discount_rate)^Q239</f>
        <v/>
      </c>
      <c r="R263">
        <f>1/(1+discount_rate)^R239</f>
        <v/>
      </c>
    </row>
    <row r="264">
      <c r="A264" t="inlineStr">
        <is>
          <t>Present value</t>
        </is>
      </c>
      <c r="C264">
        <f>C262*C263</f>
        <v/>
      </c>
      <c r="D264">
        <f>D262*D263</f>
        <v/>
      </c>
      <c r="E264">
        <f>E262*E263</f>
        <v/>
      </c>
      <c r="F264">
        <f>F262*F263</f>
        <v/>
      </c>
      <c r="G264">
        <f>G262*G263</f>
        <v/>
      </c>
      <c r="H264">
        <f>H262*H263</f>
        <v/>
      </c>
      <c r="I264">
        <f>I262*I263</f>
        <v/>
      </c>
      <c r="J264">
        <f>J262*J263</f>
        <v/>
      </c>
      <c r="K264">
        <f>K262*K263</f>
        <v/>
      </c>
      <c r="L264">
        <f>L262*L263</f>
        <v/>
      </c>
      <c r="M264">
        <f>M262*M263</f>
        <v/>
      </c>
      <c r="N264">
        <f>N262*N263</f>
        <v/>
      </c>
      <c r="O264">
        <f>O262*O263</f>
        <v/>
      </c>
      <c r="P264">
        <f>P262*P263</f>
        <v/>
      </c>
      <c r="Q264">
        <f>Q262*Q263</f>
        <v/>
      </c>
      <c r="R264">
        <f>R262*R263</f>
        <v/>
      </c>
    </row>
    <row r="265">
      <c r="A265" t="inlineStr">
        <is>
          <t>Cumulative cash flow</t>
        </is>
      </c>
      <c r="C265">
        <f>C262</f>
        <v/>
      </c>
      <c r="D265">
        <f>C265+D262</f>
        <v/>
      </c>
      <c r="E265">
        <f>D265+E262</f>
        <v/>
      </c>
      <c r="F265">
        <f>E265+F262</f>
        <v/>
      </c>
      <c r="G265">
        <f>F265+G262</f>
        <v/>
      </c>
      <c r="H265">
        <f>G265+H262</f>
        <v/>
      </c>
      <c r="I265">
        <f>H265+I262</f>
        <v/>
      </c>
      <c r="J265">
        <f>I265+J262</f>
        <v/>
      </c>
      <c r="K265">
        <f>J265+K262</f>
        <v/>
      </c>
      <c r="L265">
        <f>K265+L262</f>
        <v/>
      </c>
      <c r="M265">
        <f>L265+M262</f>
        <v/>
      </c>
      <c r="N265">
        <f>M265+N262</f>
        <v/>
      </c>
      <c r="O265">
        <f>N265+O262</f>
        <v/>
      </c>
      <c r="P265">
        <f>O265+P262</f>
        <v/>
      </c>
      <c r="Q265">
        <f>P265+Q262</f>
        <v/>
      </c>
      <c r="R265">
        <f>Q265+R262</f>
        <v/>
      </c>
    </row>
    <row r="266">
      <c r="A266" t="inlineStr">
        <is>
          <t>Payback helper (months)</t>
        </is>
      </c>
      <c r="C266">
        <f>0</f>
        <v/>
      </c>
      <c r="D266">
        <f>IF(AND(C265&lt;0,D265&gt;=0),(D239-1+(-C265)/D262)*12,0)</f>
        <v/>
      </c>
      <c r="E266">
        <f>IF(AND(D265&lt;0,E265&gt;=0),(E239-1+(-D265)/E262)*12,0)</f>
        <v/>
      </c>
      <c r="F266">
        <f>IF(AND(E265&lt;0,F265&gt;=0),(F239-1+(-E265)/F262)*12,0)</f>
        <v/>
      </c>
      <c r="G266">
        <f>IF(AND(F265&lt;0,G265&gt;=0),(G239-1+(-F265)/G262)*12,0)</f>
        <v/>
      </c>
      <c r="H266">
        <f>IF(AND(G265&lt;0,H265&gt;=0),(H239-1+(-G265)/H262)*12,0)</f>
        <v/>
      </c>
      <c r="I266">
        <f>IF(AND(H265&lt;0,I265&gt;=0),(I239-1+(-H265)/I262)*12,0)</f>
        <v/>
      </c>
      <c r="J266">
        <f>IF(AND(I265&lt;0,J265&gt;=0),(J239-1+(-I265)/J262)*12,0)</f>
        <v/>
      </c>
      <c r="K266">
        <f>IF(AND(J265&lt;0,K265&gt;=0),(K239-1+(-J265)/K262)*12,0)</f>
        <v/>
      </c>
      <c r="L266">
        <f>IF(AND(K265&lt;0,L265&gt;=0),(L239-1+(-K265)/L262)*12,0)</f>
        <v/>
      </c>
      <c r="M266">
        <f>IF(AND(L265&lt;0,M265&gt;=0),(M239-1+(-L265)/M262)*12,0)</f>
        <v/>
      </c>
      <c r="N266">
        <f>IF(AND(M265&lt;0,N265&gt;=0),(N239-1+(-M265)/N262)*12,0)</f>
        <v/>
      </c>
      <c r="O266">
        <f>IF(AND(N265&lt;0,O265&gt;=0),(O239-1+(-N265)/O262)*12,0)</f>
        <v/>
      </c>
      <c r="P266">
        <f>IF(AND(O265&lt;0,P265&gt;=0),(P239-1+(-O265)/P262)*12,0)</f>
        <v/>
      </c>
      <c r="Q266">
        <f>IF(AND(P265&lt;0,Q265&gt;=0),(Q239-1+(-P265)/Q262)*12,0)</f>
        <v/>
      </c>
      <c r="R266">
        <f>IF(AND(Q265&lt;0,R265&gt;=0),(R239-1+(-Q265)/R262)*12,0)</f>
        <v/>
      </c>
    </row>
    <row r="268">
      <c r="A268" s="10" t="inlineStr">
        <is>
          <t>npv</t>
        </is>
      </c>
      <c r="B268" s="8">
        <f>SUM($C$264:$R$264)</f>
        <v/>
      </c>
    </row>
    <row r="269">
      <c r="A269" s="10" t="inlineStr">
        <is>
          <t>irr</t>
        </is>
      </c>
      <c r="B269" s="6">
        <f>IRR($C$262:$R$262)</f>
        <v/>
      </c>
    </row>
    <row r="270">
      <c r="A270" s="10" t="inlineStr">
        <is>
          <t>payback_months</t>
        </is>
      </c>
      <c r="B270" s="9">
        <f>IF(SUM($C$266:$R$266)=0,"n/a",SUM($C$266:$R$266))</f>
        <v/>
      </c>
    </row>
    <row r="273">
      <c r="A273" s="10" t="inlineStr">
        <is>
          <t>Tornado: mature_sales_density high (+20%)</t>
        </is>
      </c>
    </row>
    <row r="274">
      <c r="A274" t="inlineStr">
        <is>
          <t>param: density</t>
        </is>
      </c>
      <c r="B274">
        <f>mature_sales_density*1.2</f>
        <v/>
      </c>
    </row>
    <row r="275">
      <c r="A275" t="inlineStr">
        <is>
          <t>param: gm</t>
        </is>
      </c>
      <c r="B275">
        <f>product_gross_margin</f>
        <v/>
      </c>
    </row>
    <row r="276">
      <c r="A276" t="inlineStr">
        <is>
          <t>param: rent</t>
        </is>
      </c>
      <c r="B276">
        <f>rent_per_year</f>
        <v/>
      </c>
    </row>
    <row r="277">
      <c r="A277" t="inlineStr">
        <is>
          <t>param: capex</t>
        </is>
      </c>
      <c r="B277">
        <f>fitout_capex</f>
        <v/>
      </c>
    </row>
    <row r="278">
      <c r="A278" t="inlineStr">
        <is>
          <t>param: ramp1</t>
        </is>
      </c>
      <c r="B278">
        <f>ramp_year1</f>
        <v/>
      </c>
    </row>
    <row r="279">
      <c r="A279" t="inlineStr">
        <is>
          <t>param: ramp2</t>
        </is>
      </c>
      <c r="B279">
        <f>ramp_year2</f>
        <v/>
      </c>
    </row>
    <row r="280">
      <c r="A280" t="inlineStr">
        <is>
          <t>param: rent_mult</t>
        </is>
      </c>
      <c r="B280" t="n">
        <v>1</v>
      </c>
    </row>
    <row r="281">
      <c r="A281" t="inlineStr">
        <is>
          <t>param: payroll_mult</t>
        </is>
      </c>
      <c r="B281" t="n">
        <v>1</v>
      </c>
    </row>
    <row r="282">
      <c r="A282" t="inlineStr">
        <is>
          <t>param: ramp_mult</t>
        </is>
      </c>
      <c r="B282" t="n">
        <v>1</v>
      </c>
    </row>
    <row r="284">
      <c r="A284" t="inlineStr">
        <is>
          <t>Year</t>
        </is>
      </c>
      <c r="C284" t="n">
        <v>0</v>
      </c>
      <c r="D284" t="n">
        <v>1</v>
      </c>
      <c r="E284" t="n">
        <v>2</v>
      </c>
      <c r="F284" t="n">
        <v>3</v>
      </c>
      <c r="G284" t="n">
        <v>4</v>
      </c>
      <c r="H284" t="n">
        <v>5</v>
      </c>
      <c r="I284" t="n">
        <v>6</v>
      </c>
      <c r="J284" t="n">
        <v>7</v>
      </c>
      <c r="K284" t="n">
        <v>8</v>
      </c>
      <c r="L284" t="n">
        <v>9</v>
      </c>
      <c r="M284" t="n">
        <v>10</v>
      </c>
      <c r="N284" t="n">
        <v>11</v>
      </c>
      <c r="O284" t="n">
        <v>12</v>
      </c>
      <c r="P284" t="n">
        <v>13</v>
      </c>
      <c r="Q284" t="n">
        <v>14</v>
      </c>
      <c r="R284" t="n">
        <v>15</v>
      </c>
    </row>
    <row r="285">
      <c r="A285" t="inlineStr">
        <is>
          <t>Trading year flag</t>
        </is>
      </c>
      <c r="C285">
        <f>IF(AND(C284&gt;=1,C284&lt;=lease_term_years),1,0)</f>
        <v/>
      </c>
      <c r="D285">
        <f>IF(AND(D284&gt;=1,D284&lt;=lease_term_years),1,0)</f>
        <v/>
      </c>
      <c r="E285">
        <f>IF(AND(E284&gt;=1,E284&lt;=lease_term_years),1,0)</f>
        <v/>
      </c>
      <c r="F285">
        <f>IF(AND(F284&gt;=1,F284&lt;=lease_term_years),1,0)</f>
        <v/>
      </c>
      <c r="G285">
        <f>IF(AND(G284&gt;=1,G284&lt;=lease_term_years),1,0)</f>
        <v/>
      </c>
      <c r="H285">
        <f>IF(AND(H284&gt;=1,H284&lt;=lease_term_years),1,0)</f>
        <v/>
      </c>
      <c r="I285">
        <f>IF(AND(I284&gt;=1,I284&lt;=lease_term_years),1,0)</f>
        <v/>
      </c>
      <c r="J285">
        <f>IF(AND(J284&gt;=1,J284&lt;=lease_term_years),1,0)</f>
        <v/>
      </c>
      <c r="K285">
        <f>IF(AND(K284&gt;=1,K284&lt;=lease_term_years),1,0)</f>
        <v/>
      </c>
      <c r="L285">
        <f>IF(AND(L284&gt;=1,L284&lt;=lease_term_years),1,0)</f>
        <v/>
      </c>
      <c r="M285">
        <f>IF(AND(M284&gt;=1,M284&lt;=lease_term_years),1,0)</f>
        <v/>
      </c>
      <c r="N285">
        <f>IF(AND(N284&gt;=1,N284&lt;=lease_term_years),1,0)</f>
        <v/>
      </c>
      <c r="O285">
        <f>IF(AND(O284&gt;=1,O284&lt;=lease_term_years),1,0)</f>
        <v/>
      </c>
      <c r="P285">
        <f>IF(AND(P284&gt;=1,P284&lt;=lease_term_years),1,0)</f>
        <v/>
      </c>
      <c r="Q285">
        <f>IF(AND(Q284&gt;=1,Q284&lt;=lease_term_years),1,0)</f>
        <v/>
      </c>
      <c r="R285">
        <f>IF(AND(R284&gt;=1,R284&lt;=lease_term_years),1,0)</f>
        <v/>
      </c>
    </row>
    <row r="286">
      <c r="A286" t="inlineStr">
        <is>
          <t>Ramp-up (share of mature volume)</t>
        </is>
      </c>
      <c r="C286">
        <f>IF(C284=1,1-(1-$B$278)*$B$282,IF(C284=2,1-(1-$B$279)*$B$282,1))*C285</f>
        <v/>
      </c>
      <c r="D286">
        <f>IF(D284=1,1-(1-$B$278)*$B$282,IF(D284=2,1-(1-$B$279)*$B$282,1))*D285</f>
        <v/>
      </c>
      <c r="E286">
        <f>IF(E284=1,1-(1-$B$278)*$B$282,IF(E284=2,1-(1-$B$279)*$B$282,1))*E285</f>
        <v/>
      </c>
      <c r="F286">
        <f>IF(F284=1,1-(1-$B$278)*$B$282,IF(F284=2,1-(1-$B$279)*$B$282,1))*F285</f>
        <v/>
      </c>
      <c r="G286">
        <f>IF(G284=1,1-(1-$B$278)*$B$282,IF(G284=2,1-(1-$B$279)*$B$282,1))*G285</f>
        <v/>
      </c>
      <c r="H286">
        <f>IF(H284=1,1-(1-$B$278)*$B$282,IF(H284=2,1-(1-$B$279)*$B$282,1))*H285</f>
        <v/>
      </c>
      <c r="I286">
        <f>IF(I284=1,1-(1-$B$278)*$B$282,IF(I284=2,1-(1-$B$279)*$B$282,1))*I285</f>
        <v/>
      </c>
      <c r="J286">
        <f>IF(J284=1,1-(1-$B$278)*$B$282,IF(J284=2,1-(1-$B$279)*$B$282,1))*J285</f>
        <v/>
      </c>
      <c r="K286">
        <f>IF(K284=1,1-(1-$B$278)*$B$282,IF(K284=2,1-(1-$B$279)*$B$282,1))*K285</f>
        <v/>
      </c>
      <c r="L286">
        <f>IF(L284=1,1-(1-$B$278)*$B$282,IF(L284=2,1-(1-$B$279)*$B$282,1))*L285</f>
        <v/>
      </c>
      <c r="M286">
        <f>IF(M284=1,1-(1-$B$278)*$B$282,IF(M284=2,1-(1-$B$279)*$B$282,1))*M285</f>
        <v/>
      </c>
      <c r="N286">
        <f>IF(N284=1,1-(1-$B$278)*$B$282,IF(N284=2,1-(1-$B$279)*$B$282,1))*N285</f>
        <v/>
      </c>
      <c r="O286">
        <f>IF(O284=1,1-(1-$B$278)*$B$282,IF(O284=2,1-(1-$B$279)*$B$282,1))*O285</f>
        <v/>
      </c>
      <c r="P286">
        <f>IF(P284=1,1-(1-$B$278)*$B$282,IF(P284=2,1-(1-$B$279)*$B$282,1))*P285</f>
        <v/>
      </c>
      <c r="Q286">
        <f>IF(Q284=1,1-(1-$B$278)*$B$282,IF(Q284=2,1-(1-$B$279)*$B$282,1))*Q285</f>
        <v/>
      </c>
      <c r="R286">
        <f>IF(R284=1,1-(1-$B$278)*$B$282,IF(R284=2,1-(1-$B$279)*$B$282,1))*R285</f>
        <v/>
      </c>
    </row>
    <row r="287">
      <c r="A287" t="inlineStr">
        <is>
          <t>Sales volume (year-1 prices)</t>
        </is>
      </c>
      <c r="C287">
        <f>area_sqft*$B$274*C286</f>
        <v/>
      </c>
      <c r="D287">
        <f>area_sqft*$B$274*D286</f>
        <v/>
      </c>
      <c r="E287">
        <f>area_sqft*$B$274*E286</f>
        <v/>
      </c>
      <c r="F287">
        <f>area_sqft*$B$274*F286</f>
        <v/>
      </c>
      <c r="G287">
        <f>area_sqft*$B$274*G286</f>
        <v/>
      </c>
      <c r="H287">
        <f>area_sqft*$B$274*H286</f>
        <v/>
      </c>
      <c r="I287">
        <f>area_sqft*$B$274*I286</f>
        <v/>
      </c>
      <c r="J287">
        <f>area_sqft*$B$274*J286</f>
        <v/>
      </c>
      <c r="K287">
        <f>area_sqft*$B$274*K286</f>
        <v/>
      </c>
      <c r="L287">
        <f>area_sqft*$B$274*L286</f>
        <v/>
      </c>
      <c r="M287">
        <f>area_sqft*$B$274*M286</f>
        <v/>
      </c>
      <c r="N287">
        <f>area_sqft*$B$274*N286</f>
        <v/>
      </c>
      <c r="O287">
        <f>area_sqft*$B$274*O286</f>
        <v/>
      </c>
      <c r="P287">
        <f>area_sqft*$B$274*P286</f>
        <v/>
      </c>
      <c r="Q287">
        <f>area_sqft*$B$274*Q286</f>
        <v/>
      </c>
      <c r="R287">
        <f>area_sqft*$B$274*R286</f>
        <v/>
      </c>
    </row>
    <row r="288">
      <c r="A288" t="inlineStr">
        <is>
          <t>Sales growth index</t>
        </is>
      </c>
      <c r="C288">
        <f>IF(C285=1,(1+sales_growth)^(C284-1),0)</f>
        <v/>
      </c>
      <c r="D288">
        <f>IF(D285=1,(1+sales_growth)^(D284-1),0)</f>
        <v/>
      </c>
      <c r="E288">
        <f>IF(E285=1,(1+sales_growth)^(E284-1),0)</f>
        <v/>
      </c>
      <c r="F288">
        <f>IF(F285=1,(1+sales_growth)^(F284-1),0)</f>
        <v/>
      </c>
      <c r="G288">
        <f>IF(G285=1,(1+sales_growth)^(G284-1),0)</f>
        <v/>
      </c>
      <c r="H288">
        <f>IF(H285=1,(1+sales_growth)^(H284-1),0)</f>
        <v/>
      </c>
      <c r="I288">
        <f>IF(I285=1,(1+sales_growth)^(I284-1),0)</f>
        <v/>
      </c>
      <c r="J288">
        <f>IF(J285=1,(1+sales_growth)^(J284-1),0)</f>
        <v/>
      </c>
      <c r="K288">
        <f>IF(K285=1,(1+sales_growth)^(K284-1),0)</f>
        <v/>
      </c>
      <c r="L288">
        <f>IF(L285=1,(1+sales_growth)^(L284-1),0)</f>
        <v/>
      </c>
      <c r="M288">
        <f>IF(M285=1,(1+sales_growth)^(M284-1),0)</f>
        <v/>
      </c>
      <c r="N288">
        <f>IF(N285=1,(1+sales_growth)^(N284-1),0)</f>
        <v/>
      </c>
      <c r="O288">
        <f>IF(O285=1,(1+sales_growth)^(O284-1),0)</f>
        <v/>
      </c>
      <c r="P288">
        <f>IF(P285=1,(1+sales_growth)^(P284-1),0)</f>
        <v/>
      </c>
      <c r="Q288">
        <f>IF(Q285=1,(1+sales_growth)^(Q284-1),0)</f>
        <v/>
      </c>
      <c r="R288">
        <f>IF(R285=1,(1+sales_growth)^(R284-1),0)</f>
        <v/>
      </c>
    </row>
    <row r="289">
      <c r="A289" t="inlineStr">
        <is>
          <t>Sales</t>
        </is>
      </c>
      <c r="C289">
        <f>C287*C288</f>
        <v/>
      </c>
      <c r="D289">
        <f>D287*D288</f>
        <v/>
      </c>
      <c r="E289">
        <f>E287*E288</f>
        <v/>
      </c>
      <c r="F289">
        <f>F287*F288</f>
        <v/>
      </c>
      <c r="G289">
        <f>G287*G288</f>
        <v/>
      </c>
      <c r="H289">
        <f>H287*H288</f>
        <v/>
      </c>
      <c r="I289">
        <f>I287*I288</f>
        <v/>
      </c>
      <c r="J289">
        <f>J287*J288</f>
        <v/>
      </c>
      <c r="K289">
        <f>K287*K288</f>
        <v/>
      </c>
      <c r="L289">
        <f>L287*L288</f>
        <v/>
      </c>
      <c r="M289">
        <f>M287*M288</f>
        <v/>
      </c>
      <c r="N289">
        <f>N287*N288</f>
        <v/>
      </c>
      <c r="O289">
        <f>O287*O288</f>
        <v/>
      </c>
      <c r="P289">
        <f>P287*P288</f>
        <v/>
      </c>
      <c r="Q289">
        <f>Q287*Q288</f>
        <v/>
      </c>
      <c r="R289">
        <f>R287*R288</f>
        <v/>
      </c>
    </row>
    <row r="290">
      <c r="A290" t="inlineStr">
        <is>
          <t>Gross margin</t>
        </is>
      </c>
      <c r="C290">
        <f>C289*$B$275</f>
        <v/>
      </c>
      <c r="D290">
        <f>D289*$B$275</f>
        <v/>
      </c>
      <c r="E290">
        <f>E289*$B$275</f>
        <v/>
      </c>
      <c r="F290">
        <f>F289*$B$275</f>
        <v/>
      </c>
      <c r="G290">
        <f>G289*$B$275</f>
        <v/>
      </c>
      <c r="H290">
        <f>H289*$B$275</f>
        <v/>
      </c>
      <c r="I290">
        <f>I289*$B$275</f>
        <v/>
      </c>
      <c r="J290">
        <f>J289*$B$275</f>
        <v/>
      </c>
      <c r="K290">
        <f>K289*$B$275</f>
        <v/>
      </c>
      <c r="L290">
        <f>L289*$B$275</f>
        <v/>
      </c>
      <c r="M290">
        <f>M289*$B$275</f>
        <v/>
      </c>
      <c r="N290">
        <f>N289*$B$275</f>
        <v/>
      </c>
      <c r="O290">
        <f>O289*$B$275</f>
        <v/>
      </c>
      <c r="P290">
        <f>P289*$B$275</f>
        <v/>
      </c>
      <c r="Q290">
        <f>Q289*$B$275</f>
        <v/>
      </c>
      <c r="R290">
        <f>R289*$B$275</f>
        <v/>
      </c>
    </row>
    <row r="291">
      <c r="A291" t="inlineStr">
        <is>
          <t>Wage index</t>
        </is>
      </c>
      <c r="C291">
        <f>IF(C285=1,(1+wage_inflation)^(C284-1),0)</f>
        <v/>
      </c>
      <c r="D291">
        <f>IF(D285=1,(1+wage_inflation)^(D284-1),0)</f>
        <v/>
      </c>
      <c r="E291">
        <f>IF(E285=1,(1+wage_inflation)^(E284-1),0)</f>
        <v/>
      </c>
      <c r="F291">
        <f>IF(F285=1,(1+wage_inflation)^(F284-1),0)</f>
        <v/>
      </c>
      <c r="G291">
        <f>IF(G285=1,(1+wage_inflation)^(G284-1),0)</f>
        <v/>
      </c>
      <c r="H291">
        <f>IF(H285=1,(1+wage_inflation)^(H284-1),0)</f>
        <v/>
      </c>
      <c r="I291">
        <f>IF(I285=1,(1+wage_inflation)^(I284-1),0)</f>
        <v/>
      </c>
      <c r="J291">
        <f>IF(J285=1,(1+wage_inflation)^(J284-1),0)</f>
        <v/>
      </c>
      <c r="K291">
        <f>IF(K285=1,(1+wage_inflation)^(K284-1),0)</f>
        <v/>
      </c>
      <c r="L291">
        <f>IF(L285=1,(1+wage_inflation)^(L284-1),0)</f>
        <v/>
      </c>
      <c r="M291">
        <f>IF(M285=1,(1+wage_inflation)^(M284-1),0)</f>
        <v/>
      </c>
      <c r="N291">
        <f>IF(N285=1,(1+wage_inflation)^(N284-1),0)</f>
        <v/>
      </c>
      <c r="O291">
        <f>IF(O285=1,(1+wage_inflation)^(O284-1),0)</f>
        <v/>
      </c>
      <c r="P291">
        <f>IF(P285=1,(1+wage_inflation)^(P284-1),0)</f>
        <v/>
      </c>
      <c r="Q291">
        <f>IF(Q285=1,(1+wage_inflation)^(Q284-1),0)</f>
        <v/>
      </c>
      <c r="R291">
        <f>IF(R285=1,(1+wage_inflation)^(R284-1),0)</f>
        <v/>
      </c>
    </row>
    <row r="292">
      <c r="A292" t="inlineStr">
        <is>
          <t>Payroll</t>
        </is>
      </c>
      <c r="C292">
        <f>(fixed_payroll*C285+variable_cost_per_k*C287/1000)*C291*$B$281</f>
        <v/>
      </c>
      <c r="D292">
        <f>(fixed_payroll*D285+variable_cost_per_k*D287/1000)*D291*$B$281</f>
        <v/>
      </c>
      <c r="E292">
        <f>(fixed_payroll*E285+variable_cost_per_k*E287/1000)*E291*$B$281</f>
        <v/>
      </c>
      <c r="F292">
        <f>(fixed_payroll*F285+variable_cost_per_k*F287/1000)*F291*$B$281</f>
        <v/>
      </c>
      <c r="G292">
        <f>(fixed_payroll*G285+variable_cost_per_k*G287/1000)*G291*$B$281</f>
        <v/>
      </c>
      <c r="H292">
        <f>(fixed_payroll*H285+variable_cost_per_k*H287/1000)*H291*$B$281</f>
        <v/>
      </c>
      <c r="I292">
        <f>(fixed_payroll*I285+variable_cost_per_k*I287/1000)*I291*$B$281</f>
        <v/>
      </c>
      <c r="J292">
        <f>(fixed_payroll*J285+variable_cost_per_k*J287/1000)*J291*$B$281</f>
        <v/>
      </c>
      <c r="K292">
        <f>(fixed_payroll*K285+variable_cost_per_k*K287/1000)*K291*$B$281</f>
        <v/>
      </c>
      <c r="L292">
        <f>(fixed_payroll*L285+variable_cost_per_k*L287/1000)*L291*$B$281</f>
        <v/>
      </c>
      <c r="M292">
        <f>(fixed_payroll*M285+variable_cost_per_k*M287/1000)*M291*$B$281</f>
        <v/>
      </c>
      <c r="N292">
        <f>(fixed_payroll*N285+variable_cost_per_k*N287/1000)*N291*$B$281</f>
        <v/>
      </c>
      <c r="O292">
        <f>(fixed_payroll*O285+variable_cost_per_k*O287/1000)*O291*$B$281</f>
        <v/>
      </c>
      <c r="P292">
        <f>(fixed_payroll*P285+variable_cost_per_k*P287/1000)*P291*$B$281</f>
        <v/>
      </c>
      <c r="Q292">
        <f>(fixed_payroll*Q285+variable_cost_per_k*Q287/1000)*Q291*$B$281</f>
        <v/>
      </c>
      <c r="R292">
        <f>(fixed_payroll*R285+variable_cost_per_k*R287/1000)*R291*$B$281</f>
        <v/>
      </c>
    </row>
    <row r="293">
      <c r="A293" t="inlineStr">
        <is>
          <t>Rent</t>
        </is>
      </c>
      <c r="C293">
        <f>$B$276*(1+IF(C284&gt;=6,rent_review_uplift,0))*C285*$B$280</f>
        <v/>
      </c>
      <c r="D293">
        <f>$B$276*(1+IF(D284&gt;=6,rent_review_uplift,0))*D285*$B$280</f>
        <v/>
      </c>
      <c r="E293">
        <f>$B$276*(1+IF(E284&gt;=6,rent_review_uplift,0))*E285*$B$280</f>
        <v/>
      </c>
      <c r="F293">
        <f>$B$276*(1+IF(F284&gt;=6,rent_review_uplift,0))*F285*$B$280</f>
        <v/>
      </c>
      <c r="G293">
        <f>$B$276*(1+IF(G284&gt;=6,rent_review_uplift,0))*G285*$B$280</f>
        <v/>
      </c>
      <c r="H293">
        <f>$B$276*(1+IF(H284&gt;=6,rent_review_uplift,0))*H285*$B$280</f>
        <v/>
      </c>
      <c r="I293">
        <f>$B$276*(1+IF(I284&gt;=6,rent_review_uplift,0))*I285*$B$280</f>
        <v/>
      </c>
      <c r="J293">
        <f>$B$276*(1+IF(J284&gt;=6,rent_review_uplift,0))*J285*$B$280</f>
        <v/>
      </c>
      <c r="K293">
        <f>$B$276*(1+IF(K284&gt;=6,rent_review_uplift,0))*K285*$B$280</f>
        <v/>
      </c>
      <c r="L293">
        <f>$B$276*(1+IF(L284&gt;=6,rent_review_uplift,0))*L285*$B$280</f>
        <v/>
      </c>
      <c r="M293">
        <f>$B$276*(1+IF(M284&gt;=6,rent_review_uplift,0))*M285*$B$280</f>
        <v/>
      </c>
      <c r="N293">
        <f>$B$276*(1+IF(N284&gt;=6,rent_review_uplift,0))*N285*$B$280</f>
        <v/>
      </c>
      <c r="O293">
        <f>$B$276*(1+IF(O284&gt;=6,rent_review_uplift,0))*O285*$B$280</f>
        <v/>
      </c>
      <c r="P293">
        <f>$B$276*(1+IF(P284&gt;=6,rent_review_uplift,0))*P285*$B$280</f>
        <v/>
      </c>
      <c r="Q293">
        <f>$B$276*(1+IF(Q284&gt;=6,rent_review_uplift,0))*Q285*$B$280</f>
        <v/>
      </c>
      <c r="R293">
        <f>$B$276*(1+IF(R284&gt;=6,rent_review_uplift,0))*R285*$B$280</f>
        <v/>
      </c>
    </row>
    <row r="294">
      <c r="A294" t="inlineStr">
        <is>
          <t>Cost index</t>
        </is>
      </c>
      <c r="C294">
        <f>IF(C285=1,(1+cost_inflation)^(C284-1),0)</f>
        <v/>
      </c>
      <c r="D294">
        <f>IF(D285=1,(1+cost_inflation)^(D284-1),0)</f>
        <v/>
      </c>
      <c r="E294">
        <f>IF(E285=1,(1+cost_inflation)^(E284-1),0)</f>
        <v/>
      </c>
      <c r="F294">
        <f>IF(F285=1,(1+cost_inflation)^(F284-1),0)</f>
        <v/>
      </c>
      <c r="G294">
        <f>IF(G285=1,(1+cost_inflation)^(G284-1),0)</f>
        <v/>
      </c>
      <c r="H294">
        <f>IF(H285=1,(1+cost_inflation)^(H284-1),0)</f>
        <v/>
      </c>
      <c r="I294">
        <f>IF(I285=1,(1+cost_inflation)^(I284-1),0)</f>
        <v/>
      </c>
      <c r="J294">
        <f>IF(J285=1,(1+cost_inflation)^(J284-1),0)</f>
        <v/>
      </c>
      <c r="K294">
        <f>IF(K285=1,(1+cost_inflation)^(K284-1),0)</f>
        <v/>
      </c>
      <c r="L294">
        <f>IF(L285=1,(1+cost_inflation)^(L284-1),0)</f>
        <v/>
      </c>
      <c r="M294">
        <f>IF(M285=1,(1+cost_inflation)^(M284-1),0)</f>
        <v/>
      </c>
      <c r="N294">
        <f>IF(N285=1,(1+cost_inflation)^(N284-1),0)</f>
        <v/>
      </c>
      <c r="O294">
        <f>IF(O285=1,(1+cost_inflation)^(O284-1),0)</f>
        <v/>
      </c>
      <c r="P294">
        <f>IF(P285=1,(1+cost_inflation)^(P284-1),0)</f>
        <v/>
      </c>
      <c r="Q294">
        <f>IF(Q285=1,(1+cost_inflation)^(Q284-1),0)</f>
        <v/>
      </c>
      <c r="R294">
        <f>IF(R285=1,(1+cost_inflation)^(R284-1),0)</f>
        <v/>
      </c>
    </row>
    <row r="295">
      <c r="A295" t="inlineStr">
        <is>
          <t>Business rates</t>
        </is>
      </c>
      <c r="C295">
        <f>rateable_value*IF(rateable_value&lt;51000,rates_multiplier_rhl_small,IF(rateable_value&lt;500000,rates_multiplier_rhl_standard,rates_multiplier_high_value))*C294</f>
        <v/>
      </c>
      <c r="D295">
        <f>rateable_value*IF(rateable_value&lt;51000,rates_multiplier_rhl_small,IF(rateable_value&lt;500000,rates_multiplier_rhl_standard,rates_multiplier_high_value))*D294</f>
        <v/>
      </c>
      <c r="E295">
        <f>rateable_value*IF(rateable_value&lt;51000,rates_multiplier_rhl_small,IF(rateable_value&lt;500000,rates_multiplier_rhl_standard,rates_multiplier_high_value))*E294</f>
        <v/>
      </c>
      <c r="F295">
        <f>rateable_value*IF(rateable_value&lt;51000,rates_multiplier_rhl_small,IF(rateable_value&lt;500000,rates_multiplier_rhl_standard,rates_multiplier_high_value))*F294</f>
        <v/>
      </c>
      <c r="G295">
        <f>rateable_value*IF(rateable_value&lt;51000,rates_multiplier_rhl_small,IF(rateable_value&lt;500000,rates_multiplier_rhl_standard,rates_multiplier_high_value))*G294</f>
        <v/>
      </c>
      <c r="H295">
        <f>rateable_value*IF(rateable_value&lt;51000,rates_multiplier_rhl_small,IF(rateable_value&lt;500000,rates_multiplier_rhl_standard,rates_multiplier_high_value))*H294</f>
        <v/>
      </c>
      <c r="I295">
        <f>rateable_value*IF(rateable_value&lt;51000,rates_multiplier_rhl_small,IF(rateable_value&lt;500000,rates_multiplier_rhl_standard,rates_multiplier_high_value))*I294</f>
        <v/>
      </c>
      <c r="J295">
        <f>rateable_value*IF(rateable_value&lt;51000,rates_multiplier_rhl_small,IF(rateable_value&lt;500000,rates_multiplier_rhl_standard,rates_multiplier_high_value))*J294</f>
        <v/>
      </c>
      <c r="K295">
        <f>rateable_value*IF(rateable_value&lt;51000,rates_multiplier_rhl_small,IF(rateable_value&lt;500000,rates_multiplier_rhl_standard,rates_multiplier_high_value))*K294</f>
        <v/>
      </c>
      <c r="L295">
        <f>rateable_value*IF(rateable_value&lt;51000,rates_multiplier_rhl_small,IF(rateable_value&lt;500000,rates_multiplier_rhl_standard,rates_multiplier_high_value))*L294</f>
        <v/>
      </c>
      <c r="M295">
        <f>rateable_value*IF(rateable_value&lt;51000,rates_multiplier_rhl_small,IF(rateable_value&lt;500000,rates_multiplier_rhl_standard,rates_multiplier_high_value))*M294</f>
        <v/>
      </c>
      <c r="N295">
        <f>rateable_value*IF(rateable_value&lt;51000,rates_multiplier_rhl_small,IF(rateable_value&lt;500000,rates_multiplier_rhl_standard,rates_multiplier_high_value))*N294</f>
        <v/>
      </c>
      <c r="O295">
        <f>rateable_value*IF(rateable_value&lt;51000,rates_multiplier_rhl_small,IF(rateable_value&lt;500000,rates_multiplier_rhl_standard,rates_multiplier_high_value))*O294</f>
        <v/>
      </c>
      <c r="P295">
        <f>rateable_value*IF(rateable_value&lt;51000,rates_multiplier_rhl_small,IF(rateable_value&lt;500000,rates_multiplier_rhl_standard,rates_multiplier_high_value))*P294</f>
        <v/>
      </c>
      <c r="Q295">
        <f>rateable_value*IF(rateable_value&lt;51000,rates_multiplier_rhl_small,IF(rateable_value&lt;500000,rates_multiplier_rhl_standard,rates_multiplier_high_value))*Q294</f>
        <v/>
      </c>
      <c r="R295">
        <f>rateable_value*IF(rateable_value&lt;51000,rates_multiplier_rhl_small,IF(rateable_value&lt;500000,rates_multiplier_rhl_standard,rates_multiplier_high_value))*R294</f>
        <v/>
      </c>
    </row>
    <row r="296">
      <c r="A296" t="inlineStr">
        <is>
          <t>Service charge, utilities, insurance</t>
        </is>
      </c>
      <c r="C296">
        <f>occupancy_other_psf*area_sqft*C294</f>
        <v/>
      </c>
      <c r="D296">
        <f>occupancy_other_psf*area_sqft*D294</f>
        <v/>
      </c>
      <c r="E296">
        <f>occupancy_other_psf*area_sqft*E294</f>
        <v/>
      </c>
      <c r="F296">
        <f>occupancy_other_psf*area_sqft*F294</f>
        <v/>
      </c>
      <c r="G296">
        <f>occupancy_other_psf*area_sqft*G294</f>
        <v/>
      </c>
      <c r="H296">
        <f>occupancy_other_psf*area_sqft*H294</f>
        <v/>
      </c>
      <c r="I296">
        <f>occupancy_other_psf*area_sqft*I294</f>
        <v/>
      </c>
      <c r="J296">
        <f>occupancy_other_psf*area_sqft*J294</f>
        <v/>
      </c>
      <c r="K296">
        <f>occupancy_other_psf*area_sqft*K294</f>
        <v/>
      </c>
      <c r="L296">
        <f>occupancy_other_psf*area_sqft*L294</f>
        <v/>
      </c>
      <c r="M296">
        <f>occupancy_other_psf*area_sqft*M294</f>
        <v/>
      </c>
      <c r="N296">
        <f>occupancy_other_psf*area_sqft*N294</f>
        <v/>
      </c>
      <c r="O296">
        <f>occupancy_other_psf*area_sqft*O294</f>
        <v/>
      </c>
      <c r="P296">
        <f>occupancy_other_psf*area_sqft*P294</f>
        <v/>
      </c>
      <c r="Q296">
        <f>occupancy_other_psf*area_sqft*Q294</f>
        <v/>
      </c>
      <c r="R296">
        <f>occupancy_other_psf*area_sqft*R294</f>
        <v/>
      </c>
    </row>
    <row r="297">
      <c r="A297" t="inlineStr">
        <is>
          <t>Other store opex</t>
        </is>
      </c>
      <c r="C297">
        <f>C289*other_opex_pct_sales</f>
        <v/>
      </c>
      <c r="D297">
        <f>D289*other_opex_pct_sales</f>
        <v/>
      </c>
      <c r="E297">
        <f>E289*other_opex_pct_sales</f>
        <v/>
      </c>
      <c r="F297">
        <f>F289*other_opex_pct_sales</f>
        <v/>
      </c>
      <c r="G297">
        <f>G289*other_opex_pct_sales</f>
        <v/>
      </c>
      <c r="H297">
        <f>H289*other_opex_pct_sales</f>
        <v/>
      </c>
      <c r="I297">
        <f>I289*other_opex_pct_sales</f>
        <v/>
      </c>
      <c r="J297">
        <f>J289*other_opex_pct_sales</f>
        <v/>
      </c>
      <c r="K297">
        <f>K289*other_opex_pct_sales</f>
        <v/>
      </c>
      <c r="L297">
        <f>L289*other_opex_pct_sales</f>
        <v/>
      </c>
      <c r="M297">
        <f>M289*other_opex_pct_sales</f>
        <v/>
      </c>
      <c r="N297">
        <f>N289*other_opex_pct_sales</f>
        <v/>
      </c>
      <c r="O297">
        <f>O289*other_opex_pct_sales</f>
        <v/>
      </c>
      <c r="P297">
        <f>P289*other_opex_pct_sales</f>
        <v/>
      </c>
      <c r="Q297">
        <f>Q289*other_opex_pct_sales</f>
        <v/>
      </c>
      <c r="R297">
        <f>R289*other_opex_pct_sales</f>
        <v/>
      </c>
    </row>
    <row r="298">
      <c r="A298" t="inlineStr">
        <is>
          <t>Store EBITDA (4-wall)</t>
        </is>
      </c>
      <c r="C298">
        <f>C290-C292-C293-C295-C296-C297</f>
        <v/>
      </c>
      <c r="D298">
        <f>D290-D292-D293-D295-D296-D297</f>
        <v/>
      </c>
      <c r="E298">
        <f>E290-E292-E293-E295-E296-E297</f>
        <v/>
      </c>
      <c r="F298">
        <f>F290-F292-F293-F295-F296-F297</f>
        <v/>
      </c>
      <c r="G298">
        <f>G290-G292-G293-G295-G296-G297</f>
        <v/>
      </c>
      <c r="H298">
        <f>H290-H292-H293-H295-H296-H297</f>
        <v/>
      </c>
      <c r="I298">
        <f>I290-I292-I293-I295-I296-I297</f>
        <v/>
      </c>
      <c r="J298">
        <f>J290-J292-J293-J295-J296-J297</f>
        <v/>
      </c>
      <c r="K298">
        <f>K290-K292-K293-K295-K296-K297</f>
        <v/>
      </c>
      <c r="L298">
        <f>L290-L292-L293-L295-L296-L297</f>
        <v/>
      </c>
      <c r="M298">
        <f>M290-M292-M293-M295-M296-M297</f>
        <v/>
      </c>
      <c r="N298">
        <f>N290-N292-N293-N295-N296-N297</f>
        <v/>
      </c>
      <c r="O298">
        <f>O290-O292-O293-O295-O296-O297</f>
        <v/>
      </c>
      <c r="P298">
        <f>P290-P292-P293-P295-P296-P297</f>
        <v/>
      </c>
      <c r="Q298">
        <f>Q290-Q292-Q293-Q295-Q296-Q297</f>
        <v/>
      </c>
      <c r="R298">
        <f>R290-R292-R293-R295-R296-R297</f>
        <v/>
      </c>
    </row>
    <row r="299">
      <c r="A299" t="inlineStr">
        <is>
          <t>Pre-opening costs</t>
        </is>
      </c>
      <c r="C299">
        <f>IF(C284=0,pre_opening_costs,0)</f>
        <v/>
      </c>
      <c r="D299">
        <f>IF(D284=0,pre_opening_costs,0)</f>
        <v/>
      </c>
      <c r="E299">
        <f>IF(E284=0,pre_opening_costs,0)</f>
        <v/>
      </c>
      <c r="F299">
        <f>IF(F284=0,pre_opening_costs,0)</f>
        <v/>
      </c>
      <c r="G299">
        <f>IF(G284=0,pre_opening_costs,0)</f>
        <v/>
      </c>
      <c r="H299">
        <f>IF(H284=0,pre_opening_costs,0)</f>
        <v/>
      </c>
      <c r="I299">
        <f>IF(I284=0,pre_opening_costs,0)</f>
        <v/>
      </c>
      <c r="J299">
        <f>IF(J284=0,pre_opening_costs,0)</f>
        <v/>
      </c>
      <c r="K299">
        <f>IF(K284=0,pre_opening_costs,0)</f>
        <v/>
      </c>
      <c r="L299">
        <f>IF(L284=0,pre_opening_costs,0)</f>
        <v/>
      </c>
      <c r="M299">
        <f>IF(M284=0,pre_opening_costs,0)</f>
        <v/>
      </c>
      <c r="N299">
        <f>IF(N284=0,pre_opening_costs,0)</f>
        <v/>
      </c>
      <c r="O299">
        <f>IF(O284=0,pre_opening_costs,0)</f>
        <v/>
      </c>
      <c r="P299">
        <f>IF(P284=0,pre_opening_costs,0)</f>
        <v/>
      </c>
      <c r="Q299">
        <f>IF(Q284=0,pre_opening_costs,0)</f>
        <v/>
      </c>
      <c r="R299">
        <f>IF(R284=0,pre_opening_costs,0)</f>
        <v/>
      </c>
    </row>
    <row r="300">
      <c r="A300" t="inlineStr">
        <is>
          <t>Fit-out capex</t>
        </is>
      </c>
      <c r="C300">
        <f>IF(C284=0,$B$277,0)</f>
        <v/>
      </c>
      <c r="D300">
        <f>IF(D284=0,$B$277,0)</f>
        <v/>
      </c>
      <c r="E300">
        <f>IF(E284=0,$B$277,0)</f>
        <v/>
      </c>
      <c r="F300">
        <f>IF(F284=0,$B$277,0)</f>
        <v/>
      </c>
      <c r="G300">
        <f>IF(G284=0,$B$277,0)</f>
        <v/>
      </c>
      <c r="H300">
        <f>IF(H284=0,$B$277,0)</f>
        <v/>
      </c>
      <c r="I300">
        <f>IF(I284=0,$B$277,0)</f>
        <v/>
      </c>
      <c r="J300">
        <f>IF(J284=0,$B$277,0)</f>
        <v/>
      </c>
      <c r="K300">
        <f>IF(K284=0,$B$277,0)</f>
        <v/>
      </c>
      <c r="L300">
        <f>IF(L284=0,$B$277,0)</f>
        <v/>
      </c>
      <c r="M300">
        <f>IF(M284=0,$B$277,0)</f>
        <v/>
      </c>
      <c r="N300">
        <f>IF(N284=0,$B$277,0)</f>
        <v/>
      </c>
      <c r="O300">
        <f>IF(O284=0,$B$277,0)</f>
        <v/>
      </c>
      <c r="P300">
        <f>IF(P284=0,$B$277,0)</f>
        <v/>
      </c>
      <c r="Q300">
        <f>IF(Q284=0,$B$277,0)</f>
        <v/>
      </c>
      <c r="R300">
        <f>IF(R284=0,$B$277,0)</f>
        <v/>
      </c>
    </row>
    <row r="301">
      <c r="A301" t="inlineStr">
        <is>
          <t>Tax depreciation</t>
        </is>
      </c>
      <c r="C301">
        <f>IF(AND(C284&gt;=1,C284&lt;=tax_depreciation_years,C284&lt;=lease_term_years),$B$277/tax_depreciation_years,0)</f>
        <v/>
      </c>
      <c r="D301">
        <f>IF(AND(D284&gt;=1,D284&lt;=tax_depreciation_years,D284&lt;=lease_term_years),$B$277/tax_depreciation_years,0)</f>
        <v/>
      </c>
      <c r="E301">
        <f>IF(AND(E284&gt;=1,E284&lt;=tax_depreciation_years,E284&lt;=lease_term_years),$B$277/tax_depreciation_years,0)</f>
        <v/>
      </c>
      <c r="F301">
        <f>IF(AND(F284&gt;=1,F284&lt;=tax_depreciation_years,F284&lt;=lease_term_years),$B$277/tax_depreciation_years,0)</f>
        <v/>
      </c>
      <c r="G301">
        <f>IF(AND(G284&gt;=1,G284&lt;=tax_depreciation_years,G284&lt;=lease_term_years),$B$277/tax_depreciation_years,0)</f>
        <v/>
      </c>
      <c r="H301">
        <f>IF(AND(H284&gt;=1,H284&lt;=tax_depreciation_years,H284&lt;=lease_term_years),$B$277/tax_depreciation_years,0)</f>
        <v/>
      </c>
      <c r="I301">
        <f>IF(AND(I284&gt;=1,I284&lt;=tax_depreciation_years,I284&lt;=lease_term_years),$B$277/tax_depreciation_years,0)</f>
        <v/>
      </c>
      <c r="J301">
        <f>IF(AND(J284&gt;=1,J284&lt;=tax_depreciation_years,J284&lt;=lease_term_years),$B$277/tax_depreciation_years,0)</f>
        <v/>
      </c>
      <c r="K301">
        <f>IF(AND(K284&gt;=1,K284&lt;=tax_depreciation_years,K284&lt;=lease_term_years),$B$277/tax_depreciation_years,0)</f>
        <v/>
      </c>
      <c r="L301">
        <f>IF(AND(L284&gt;=1,L284&lt;=tax_depreciation_years,L284&lt;=lease_term_years),$B$277/tax_depreciation_years,0)</f>
        <v/>
      </c>
      <c r="M301">
        <f>IF(AND(M284&gt;=1,M284&lt;=tax_depreciation_years,M284&lt;=lease_term_years),$B$277/tax_depreciation_years,0)</f>
        <v/>
      </c>
      <c r="N301">
        <f>IF(AND(N284&gt;=1,N284&lt;=tax_depreciation_years,N284&lt;=lease_term_years),$B$277/tax_depreciation_years,0)</f>
        <v/>
      </c>
      <c r="O301">
        <f>IF(AND(O284&gt;=1,O284&lt;=tax_depreciation_years,O284&lt;=lease_term_years),$B$277/tax_depreciation_years,0)</f>
        <v/>
      </c>
      <c r="P301">
        <f>IF(AND(P284&gt;=1,P284&lt;=tax_depreciation_years,P284&lt;=lease_term_years),$B$277/tax_depreciation_years,0)</f>
        <v/>
      </c>
      <c r="Q301">
        <f>IF(AND(Q284&gt;=1,Q284&lt;=tax_depreciation_years,Q284&lt;=lease_term_years),$B$277/tax_depreciation_years,0)</f>
        <v/>
      </c>
      <c r="R301">
        <f>IF(AND(R284&gt;=1,R284&lt;=tax_depreciation_years,R284&lt;=lease_term_years),$B$277/tax_depreciation_years,0)</f>
        <v/>
      </c>
    </row>
    <row r="302">
      <c r="A302" t="inlineStr">
        <is>
          <t>Dilapidations</t>
        </is>
      </c>
      <c r="C302">
        <f>IF(C284=lease_term_years,dilapidations_at_exit,0)</f>
        <v/>
      </c>
      <c r="D302">
        <f>IF(D284=lease_term_years,dilapidations_at_exit,0)</f>
        <v/>
      </c>
      <c r="E302">
        <f>IF(E284=lease_term_years,dilapidations_at_exit,0)</f>
        <v/>
      </c>
      <c r="F302">
        <f>IF(F284=lease_term_years,dilapidations_at_exit,0)</f>
        <v/>
      </c>
      <c r="G302">
        <f>IF(G284=lease_term_years,dilapidations_at_exit,0)</f>
        <v/>
      </c>
      <c r="H302">
        <f>IF(H284=lease_term_years,dilapidations_at_exit,0)</f>
        <v/>
      </c>
      <c r="I302">
        <f>IF(I284=lease_term_years,dilapidations_at_exit,0)</f>
        <v/>
      </c>
      <c r="J302">
        <f>IF(J284=lease_term_years,dilapidations_at_exit,0)</f>
        <v/>
      </c>
      <c r="K302">
        <f>IF(K284=lease_term_years,dilapidations_at_exit,0)</f>
        <v/>
      </c>
      <c r="L302">
        <f>IF(L284=lease_term_years,dilapidations_at_exit,0)</f>
        <v/>
      </c>
      <c r="M302">
        <f>IF(M284=lease_term_years,dilapidations_at_exit,0)</f>
        <v/>
      </c>
      <c r="N302">
        <f>IF(N284=lease_term_years,dilapidations_at_exit,0)</f>
        <v/>
      </c>
      <c r="O302">
        <f>IF(O284=lease_term_years,dilapidations_at_exit,0)</f>
        <v/>
      </c>
      <c r="P302">
        <f>IF(P284=lease_term_years,dilapidations_at_exit,0)</f>
        <v/>
      </c>
      <c r="Q302">
        <f>IF(Q284=lease_term_years,dilapidations_at_exit,0)</f>
        <v/>
      </c>
      <c r="R302">
        <f>IF(R284=lease_term_years,dilapidations_at_exit,0)</f>
        <v/>
      </c>
    </row>
    <row r="303">
      <c r="A303" t="inlineStr">
        <is>
          <t>Taxable profit</t>
        </is>
      </c>
      <c r="C303">
        <f>C298-C299-C301-C302</f>
        <v/>
      </c>
      <c r="D303">
        <f>D298-D299-D301-D302</f>
        <v/>
      </c>
      <c r="E303">
        <f>E298-E299-E301-E302</f>
        <v/>
      </c>
      <c r="F303">
        <f>F298-F299-F301-F302</f>
        <v/>
      </c>
      <c r="G303">
        <f>G298-G299-G301-G302</f>
        <v/>
      </c>
      <c r="H303">
        <f>H298-H299-H301-H302</f>
        <v/>
      </c>
      <c r="I303">
        <f>I298-I299-I301-I302</f>
        <v/>
      </c>
      <c r="J303">
        <f>J298-J299-J301-J302</f>
        <v/>
      </c>
      <c r="K303">
        <f>K298-K299-K301-K302</f>
        <v/>
      </c>
      <c r="L303">
        <f>L298-L299-L301-L302</f>
        <v/>
      </c>
      <c r="M303">
        <f>M298-M299-M301-M302</f>
        <v/>
      </c>
      <c r="N303">
        <f>N298-N299-N301-N302</f>
        <v/>
      </c>
      <c r="O303">
        <f>O298-O299-O301-O302</f>
        <v/>
      </c>
      <c r="P303">
        <f>P298-P299-P301-P302</f>
        <v/>
      </c>
      <c r="Q303">
        <f>Q298-Q299-Q301-Q302</f>
        <v/>
      </c>
      <c r="R303">
        <f>R298-R299-R301-R302</f>
        <v/>
      </c>
    </row>
    <row r="304">
      <c r="A304" t="inlineStr">
        <is>
          <t>Tax (negative = group relief)</t>
        </is>
      </c>
      <c r="C304">
        <f>C303*tax_rate</f>
        <v/>
      </c>
      <c r="D304">
        <f>D303*tax_rate</f>
        <v/>
      </c>
      <c r="E304">
        <f>E303*tax_rate</f>
        <v/>
      </c>
      <c r="F304">
        <f>F303*tax_rate</f>
        <v/>
      </c>
      <c r="G304">
        <f>G303*tax_rate</f>
        <v/>
      </c>
      <c r="H304">
        <f>H303*tax_rate</f>
        <v/>
      </c>
      <c r="I304">
        <f>I303*tax_rate</f>
        <v/>
      </c>
      <c r="J304">
        <f>J303*tax_rate</f>
        <v/>
      </c>
      <c r="K304">
        <f>K303*tax_rate</f>
        <v/>
      </c>
      <c r="L304">
        <f>L303*tax_rate</f>
        <v/>
      </c>
      <c r="M304">
        <f>M303*tax_rate</f>
        <v/>
      </c>
      <c r="N304">
        <f>N303*tax_rate</f>
        <v/>
      </c>
      <c r="O304">
        <f>O303*tax_rate</f>
        <v/>
      </c>
      <c r="P304">
        <f>P303*tax_rate</f>
        <v/>
      </c>
      <c r="Q304">
        <f>Q303*tax_rate</f>
        <v/>
      </c>
      <c r="R304">
        <f>R303*tax_rate</f>
        <v/>
      </c>
    </row>
    <row r="305">
      <c r="A305" t="inlineStr">
        <is>
          <t>Stock held</t>
        </is>
      </c>
      <c r="C305">
        <f>IF(C284&lt;lease_term_years,stock_pct_sales*D289,0)</f>
        <v/>
      </c>
      <c r="D305">
        <f>IF(D284&lt;lease_term_years,stock_pct_sales*E289,0)</f>
        <v/>
      </c>
      <c r="E305">
        <f>IF(E284&lt;lease_term_years,stock_pct_sales*F289,0)</f>
        <v/>
      </c>
      <c r="F305">
        <f>IF(F284&lt;lease_term_years,stock_pct_sales*G289,0)</f>
        <v/>
      </c>
      <c r="G305">
        <f>IF(G284&lt;lease_term_years,stock_pct_sales*H289,0)</f>
        <v/>
      </c>
      <c r="H305">
        <f>IF(H284&lt;lease_term_years,stock_pct_sales*I289,0)</f>
        <v/>
      </c>
      <c r="I305">
        <f>IF(I284&lt;lease_term_years,stock_pct_sales*J289,0)</f>
        <v/>
      </c>
      <c r="J305">
        <f>IF(J284&lt;lease_term_years,stock_pct_sales*K289,0)</f>
        <v/>
      </c>
      <c r="K305">
        <f>IF(K284&lt;lease_term_years,stock_pct_sales*L289,0)</f>
        <v/>
      </c>
      <c r="L305">
        <f>IF(L284&lt;lease_term_years,stock_pct_sales*M289,0)</f>
        <v/>
      </c>
      <c r="M305">
        <f>IF(M284&lt;lease_term_years,stock_pct_sales*N289,0)</f>
        <v/>
      </c>
      <c r="N305">
        <f>IF(N284&lt;lease_term_years,stock_pct_sales*O289,0)</f>
        <v/>
      </c>
      <c r="O305">
        <f>IF(O284&lt;lease_term_years,stock_pct_sales*P289,0)</f>
        <v/>
      </c>
      <c r="P305">
        <f>IF(P284&lt;lease_term_years,stock_pct_sales*Q289,0)</f>
        <v/>
      </c>
      <c r="Q305">
        <f>IF(Q284&lt;lease_term_years,stock_pct_sales*R289,0)</f>
        <v/>
      </c>
      <c r="R305">
        <f>0</f>
        <v/>
      </c>
    </row>
    <row r="306">
      <c r="A306" t="inlineStr">
        <is>
          <t>Change in stock</t>
        </is>
      </c>
      <c r="C306">
        <f>C305</f>
        <v/>
      </c>
      <c r="D306">
        <f>D305-C305</f>
        <v/>
      </c>
      <c r="E306">
        <f>E305-D305</f>
        <v/>
      </c>
      <c r="F306">
        <f>F305-E305</f>
        <v/>
      </c>
      <c r="G306">
        <f>G305-F305</f>
        <v/>
      </c>
      <c r="H306">
        <f>H305-G305</f>
        <v/>
      </c>
      <c r="I306">
        <f>I305-H305</f>
        <v/>
      </c>
      <c r="J306">
        <f>J305-I305</f>
        <v/>
      </c>
      <c r="K306">
        <f>K305-J305</f>
        <v/>
      </c>
      <c r="L306">
        <f>L305-K305</f>
        <v/>
      </c>
      <c r="M306">
        <f>M305-L305</f>
        <v/>
      </c>
      <c r="N306">
        <f>N305-M305</f>
        <v/>
      </c>
      <c r="O306">
        <f>O305-N305</f>
        <v/>
      </c>
      <c r="P306">
        <f>P305-O305</f>
        <v/>
      </c>
      <c r="Q306">
        <f>Q305-P305</f>
        <v/>
      </c>
      <c r="R306">
        <f>R305-Q305</f>
        <v/>
      </c>
    </row>
    <row r="307">
      <c r="A307" t="inlineStr">
        <is>
          <t>Free cash flow</t>
        </is>
      </c>
      <c r="C307">
        <f>C298-C299-C304-C300-C306-C302</f>
        <v/>
      </c>
      <c r="D307">
        <f>D298-D299-D304-D300-D306-D302</f>
        <v/>
      </c>
      <c r="E307">
        <f>E298-E299-E304-E300-E306-E302</f>
        <v/>
      </c>
      <c r="F307">
        <f>F298-F299-F304-F300-F306-F302</f>
        <v/>
      </c>
      <c r="G307">
        <f>G298-G299-G304-G300-G306-G302</f>
        <v/>
      </c>
      <c r="H307">
        <f>H298-H299-H304-H300-H306-H302</f>
        <v/>
      </c>
      <c r="I307">
        <f>I298-I299-I304-I300-I306-I302</f>
        <v/>
      </c>
      <c r="J307">
        <f>J298-J299-J304-J300-J306-J302</f>
        <v/>
      </c>
      <c r="K307">
        <f>K298-K299-K304-K300-K306-K302</f>
        <v/>
      </c>
      <c r="L307">
        <f>L298-L299-L304-L300-L306-L302</f>
        <v/>
      </c>
      <c r="M307">
        <f>M298-M299-M304-M300-M306-M302</f>
        <v/>
      </c>
      <c r="N307">
        <f>N298-N299-N304-N300-N306-N302</f>
        <v/>
      </c>
      <c r="O307">
        <f>O298-O299-O304-O300-O306-O302</f>
        <v/>
      </c>
      <c r="P307">
        <f>P298-P299-P304-P300-P306-P302</f>
        <v/>
      </c>
      <c r="Q307">
        <f>Q298-Q299-Q304-Q300-Q306-Q302</f>
        <v/>
      </c>
      <c r="R307">
        <f>R298-R299-R304-R300-R306-R302</f>
        <v/>
      </c>
    </row>
    <row r="308">
      <c r="A308" t="inlineStr">
        <is>
          <t>Discount factor</t>
        </is>
      </c>
      <c r="C308">
        <f>1/(1+discount_rate)^C284</f>
        <v/>
      </c>
      <c r="D308">
        <f>1/(1+discount_rate)^D284</f>
        <v/>
      </c>
      <c r="E308">
        <f>1/(1+discount_rate)^E284</f>
        <v/>
      </c>
      <c r="F308">
        <f>1/(1+discount_rate)^F284</f>
        <v/>
      </c>
      <c r="G308">
        <f>1/(1+discount_rate)^G284</f>
        <v/>
      </c>
      <c r="H308">
        <f>1/(1+discount_rate)^H284</f>
        <v/>
      </c>
      <c r="I308">
        <f>1/(1+discount_rate)^I284</f>
        <v/>
      </c>
      <c r="J308">
        <f>1/(1+discount_rate)^J284</f>
        <v/>
      </c>
      <c r="K308">
        <f>1/(1+discount_rate)^K284</f>
        <v/>
      </c>
      <c r="L308">
        <f>1/(1+discount_rate)^L284</f>
        <v/>
      </c>
      <c r="M308">
        <f>1/(1+discount_rate)^M284</f>
        <v/>
      </c>
      <c r="N308">
        <f>1/(1+discount_rate)^N284</f>
        <v/>
      </c>
      <c r="O308">
        <f>1/(1+discount_rate)^O284</f>
        <v/>
      </c>
      <c r="P308">
        <f>1/(1+discount_rate)^P284</f>
        <v/>
      </c>
      <c r="Q308">
        <f>1/(1+discount_rate)^Q284</f>
        <v/>
      </c>
      <c r="R308">
        <f>1/(1+discount_rate)^R284</f>
        <v/>
      </c>
    </row>
    <row r="309">
      <c r="A309" t="inlineStr">
        <is>
          <t>Present value</t>
        </is>
      </c>
      <c r="C309">
        <f>C307*C308</f>
        <v/>
      </c>
      <c r="D309">
        <f>D307*D308</f>
        <v/>
      </c>
      <c r="E309">
        <f>E307*E308</f>
        <v/>
      </c>
      <c r="F309">
        <f>F307*F308</f>
        <v/>
      </c>
      <c r="G309">
        <f>G307*G308</f>
        <v/>
      </c>
      <c r="H309">
        <f>H307*H308</f>
        <v/>
      </c>
      <c r="I309">
        <f>I307*I308</f>
        <v/>
      </c>
      <c r="J309">
        <f>J307*J308</f>
        <v/>
      </c>
      <c r="K309">
        <f>K307*K308</f>
        <v/>
      </c>
      <c r="L309">
        <f>L307*L308</f>
        <v/>
      </c>
      <c r="M309">
        <f>M307*M308</f>
        <v/>
      </c>
      <c r="N309">
        <f>N307*N308</f>
        <v/>
      </c>
      <c r="O309">
        <f>O307*O308</f>
        <v/>
      </c>
      <c r="P309">
        <f>P307*P308</f>
        <v/>
      </c>
      <c r="Q309">
        <f>Q307*Q308</f>
        <v/>
      </c>
      <c r="R309">
        <f>R307*R308</f>
        <v/>
      </c>
    </row>
    <row r="310">
      <c r="A310" t="inlineStr">
        <is>
          <t>Cumulative cash flow</t>
        </is>
      </c>
      <c r="C310">
        <f>C307</f>
        <v/>
      </c>
      <c r="D310">
        <f>C310+D307</f>
        <v/>
      </c>
      <c r="E310">
        <f>D310+E307</f>
        <v/>
      </c>
      <c r="F310">
        <f>E310+F307</f>
        <v/>
      </c>
      <c r="G310">
        <f>F310+G307</f>
        <v/>
      </c>
      <c r="H310">
        <f>G310+H307</f>
        <v/>
      </c>
      <c r="I310">
        <f>H310+I307</f>
        <v/>
      </c>
      <c r="J310">
        <f>I310+J307</f>
        <v/>
      </c>
      <c r="K310">
        <f>J310+K307</f>
        <v/>
      </c>
      <c r="L310">
        <f>K310+L307</f>
        <v/>
      </c>
      <c r="M310">
        <f>L310+M307</f>
        <v/>
      </c>
      <c r="N310">
        <f>M310+N307</f>
        <v/>
      </c>
      <c r="O310">
        <f>N310+O307</f>
        <v/>
      </c>
      <c r="P310">
        <f>O310+P307</f>
        <v/>
      </c>
      <c r="Q310">
        <f>P310+Q307</f>
        <v/>
      </c>
      <c r="R310">
        <f>Q310+R307</f>
        <v/>
      </c>
    </row>
    <row r="311">
      <c r="A311" t="inlineStr">
        <is>
          <t>Payback helper (months)</t>
        </is>
      </c>
      <c r="C311">
        <f>0</f>
        <v/>
      </c>
      <c r="D311">
        <f>IF(AND(C310&lt;0,D310&gt;=0),(D284-1+(-C310)/D307)*12,0)</f>
        <v/>
      </c>
      <c r="E311">
        <f>IF(AND(D310&lt;0,E310&gt;=0),(E284-1+(-D310)/E307)*12,0)</f>
        <v/>
      </c>
      <c r="F311">
        <f>IF(AND(E310&lt;0,F310&gt;=0),(F284-1+(-E310)/F307)*12,0)</f>
        <v/>
      </c>
      <c r="G311">
        <f>IF(AND(F310&lt;0,G310&gt;=0),(G284-1+(-F310)/G307)*12,0)</f>
        <v/>
      </c>
      <c r="H311">
        <f>IF(AND(G310&lt;0,H310&gt;=0),(H284-1+(-G310)/H307)*12,0)</f>
        <v/>
      </c>
      <c r="I311">
        <f>IF(AND(H310&lt;0,I310&gt;=0),(I284-1+(-H310)/I307)*12,0)</f>
        <v/>
      </c>
      <c r="J311">
        <f>IF(AND(I310&lt;0,J310&gt;=0),(J284-1+(-I310)/J307)*12,0)</f>
        <v/>
      </c>
      <c r="K311">
        <f>IF(AND(J310&lt;0,K310&gt;=0),(K284-1+(-J310)/K307)*12,0)</f>
        <v/>
      </c>
      <c r="L311">
        <f>IF(AND(K310&lt;0,L310&gt;=0),(L284-1+(-K310)/L307)*12,0)</f>
        <v/>
      </c>
      <c r="M311">
        <f>IF(AND(L310&lt;0,M310&gt;=0),(M284-1+(-L310)/M307)*12,0)</f>
        <v/>
      </c>
      <c r="N311">
        <f>IF(AND(M310&lt;0,N310&gt;=0),(N284-1+(-M310)/N307)*12,0)</f>
        <v/>
      </c>
      <c r="O311">
        <f>IF(AND(N310&lt;0,O310&gt;=0),(O284-1+(-N310)/O307)*12,0)</f>
        <v/>
      </c>
      <c r="P311">
        <f>IF(AND(O310&lt;0,P310&gt;=0),(P284-1+(-O310)/P307)*12,0)</f>
        <v/>
      </c>
      <c r="Q311">
        <f>IF(AND(P310&lt;0,Q310&gt;=0),(Q284-1+(-P310)/Q307)*12,0)</f>
        <v/>
      </c>
      <c r="R311">
        <f>IF(AND(Q310&lt;0,R310&gt;=0),(R284-1+(-Q310)/R307)*12,0)</f>
        <v/>
      </c>
    </row>
    <row r="313">
      <c r="A313" s="10" t="inlineStr">
        <is>
          <t>npv</t>
        </is>
      </c>
      <c r="B313" s="8">
        <f>SUM($C$309:$R$309)</f>
        <v/>
      </c>
    </row>
    <row r="314">
      <c r="A314" s="10" t="inlineStr">
        <is>
          <t>irr</t>
        </is>
      </c>
      <c r="B314" s="6">
        <f>IRR($C$307:$R$307)</f>
        <v/>
      </c>
    </row>
    <row r="315">
      <c r="A315" s="10" t="inlineStr">
        <is>
          <t>payback_months</t>
        </is>
      </c>
      <c r="B315" s="9">
        <f>IF(SUM($C$311:$R$311)=0,"n/a",SUM($C$311:$R$311))</f>
        <v/>
      </c>
    </row>
    <row r="318">
      <c r="A318" s="10" t="inlineStr">
        <is>
          <t>Tornado: product_gross_margin low (-20%)</t>
        </is>
      </c>
    </row>
    <row r="319">
      <c r="A319" t="inlineStr">
        <is>
          <t>param: density</t>
        </is>
      </c>
      <c r="B319">
        <f>mature_sales_density</f>
        <v/>
      </c>
    </row>
    <row r="320">
      <c r="A320" t="inlineStr">
        <is>
          <t>param: gm</t>
        </is>
      </c>
      <c r="B320">
        <f>product_gross_margin*0.8</f>
        <v/>
      </c>
    </row>
    <row r="321">
      <c r="A321" t="inlineStr">
        <is>
          <t>param: rent</t>
        </is>
      </c>
      <c r="B321">
        <f>rent_per_year</f>
        <v/>
      </c>
    </row>
    <row r="322">
      <c r="A322" t="inlineStr">
        <is>
          <t>param: capex</t>
        </is>
      </c>
      <c r="B322">
        <f>fitout_capex</f>
        <v/>
      </c>
    </row>
    <row r="323">
      <c r="A323" t="inlineStr">
        <is>
          <t>param: ramp1</t>
        </is>
      </c>
      <c r="B323">
        <f>ramp_year1</f>
        <v/>
      </c>
    </row>
    <row r="324">
      <c r="A324" t="inlineStr">
        <is>
          <t>param: ramp2</t>
        </is>
      </c>
      <c r="B324">
        <f>ramp_year2</f>
        <v/>
      </c>
    </row>
    <row r="325">
      <c r="A325" t="inlineStr">
        <is>
          <t>param: rent_mult</t>
        </is>
      </c>
      <c r="B325" t="n">
        <v>1</v>
      </c>
    </row>
    <row r="326">
      <c r="A326" t="inlineStr">
        <is>
          <t>param: payroll_mult</t>
        </is>
      </c>
      <c r="B326" t="n">
        <v>1</v>
      </c>
    </row>
    <row r="327">
      <c r="A327" t="inlineStr">
        <is>
          <t>param: ramp_mult</t>
        </is>
      </c>
      <c r="B327" t="n">
        <v>1</v>
      </c>
    </row>
    <row r="329">
      <c r="A329" t="inlineStr">
        <is>
          <t>Year</t>
        </is>
      </c>
      <c r="C329" t="n">
        <v>0</v>
      </c>
      <c r="D329" t="n">
        <v>1</v>
      </c>
      <c r="E329" t="n">
        <v>2</v>
      </c>
      <c r="F329" t="n">
        <v>3</v>
      </c>
      <c r="G329" t="n">
        <v>4</v>
      </c>
      <c r="H329" t="n">
        <v>5</v>
      </c>
      <c r="I329" t="n">
        <v>6</v>
      </c>
      <c r="J329" t="n">
        <v>7</v>
      </c>
      <c r="K329" t="n">
        <v>8</v>
      </c>
      <c r="L329" t="n">
        <v>9</v>
      </c>
      <c r="M329" t="n">
        <v>10</v>
      </c>
      <c r="N329" t="n">
        <v>11</v>
      </c>
      <c r="O329" t="n">
        <v>12</v>
      </c>
      <c r="P329" t="n">
        <v>13</v>
      </c>
      <c r="Q329" t="n">
        <v>14</v>
      </c>
      <c r="R329" t="n">
        <v>15</v>
      </c>
    </row>
    <row r="330">
      <c r="A330" t="inlineStr">
        <is>
          <t>Trading year flag</t>
        </is>
      </c>
      <c r="C330">
        <f>IF(AND(C329&gt;=1,C329&lt;=lease_term_years),1,0)</f>
        <v/>
      </c>
      <c r="D330">
        <f>IF(AND(D329&gt;=1,D329&lt;=lease_term_years),1,0)</f>
        <v/>
      </c>
      <c r="E330">
        <f>IF(AND(E329&gt;=1,E329&lt;=lease_term_years),1,0)</f>
        <v/>
      </c>
      <c r="F330">
        <f>IF(AND(F329&gt;=1,F329&lt;=lease_term_years),1,0)</f>
        <v/>
      </c>
      <c r="G330">
        <f>IF(AND(G329&gt;=1,G329&lt;=lease_term_years),1,0)</f>
        <v/>
      </c>
      <c r="H330">
        <f>IF(AND(H329&gt;=1,H329&lt;=lease_term_years),1,0)</f>
        <v/>
      </c>
      <c r="I330">
        <f>IF(AND(I329&gt;=1,I329&lt;=lease_term_years),1,0)</f>
        <v/>
      </c>
      <c r="J330">
        <f>IF(AND(J329&gt;=1,J329&lt;=lease_term_years),1,0)</f>
        <v/>
      </c>
      <c r="K330">
        <f>IF(AND(K329&gt;=1,K329&lt;=lease_term_years),1,0)</f>
        <v/>
      </c>
      <c r="L330">
        <f>IF(AND(L329&gt;=1,L329&lt;=lease_term_years),1,0)</f>
        <v/>
      </c>
      <c r="M330">
        <f>IF(AND(M329&gt;=1,M329&lt;=lease_term_years),1,0)</f>
        <v/>
      </c>
      <c r="N330">
        <f>IF(AND(N329&gt;=1,N329&lt;=lease_term_years),1,0)</f>
        <v/>
      </c>
      <c r="O330">
        <f>IF(AND(O329&gt;=1,O329&lt;=lease_term_years),1,0)</f>
        <v/>
      </c>
      <c r="P330">
        <f>IF(AND(P329&gt;=1,P329&lt;=lease_term_years),1,0)</f>
        <v/>
      </c>
      <c r="Q330">
        <f>IF(AND(Q329&gt;=1,Q329&lt;=lease_term_years),1,0)</f>
        <v/>
      </c>
      <c r="R330">
        <f>IF(AND(R329&gt;=1,R329&lt;=lease_term_years),1,0)</f>
        <v/>
      </c>
    </row>
    <row r="331">
      <c r="A331" t="inlineStr">
        <is>
          <t>Ramp-up (share of mature volume)</t>
        </is>
      </c>
      <c r="C331">
        <f>IF(C329=1,1-(1-$B$323)*$B$327,IF(C329=2,1-(1-$B$324)*$B$327,1))*C330</f>
        <v/>
      </c>
      <c r="D331">
        <f>IF(D329=1,1-(1-$B$323)*$B$327,IF(D329=2,1-(1-$B$324)*$B$327,1))*D330</f>
        <v/>
      </c>
      <c r="E331">
        <f>IF(E329=1,1-(1-$B$323)*$B$327,IF(E329=2,1-(1-$B$324)*$B$327,1))*E330</f>
        <v/>
      </c>
      <c r="F331">
        <f>IF(F329=1,1-(1-$B$323)*$B$327,IF(F329=2,1-(1-$B$324)*$B$327,1))*F330</f>
        <v/>
      </c>
      <c r="G331">
        <f>IF(G329=1,1-(1-$B$323)*$B$327,IF(G329=2,1-(1-$B$324)*$B$327,1))*G330</f>
        <v/>
      </c>
      <c r="H331">
        <f>IF(H329=1,1-(1-$B$323)*$B$327,IF(H329=2,1-(1-$B$324)*$B$327,1))*H330</f>
        <v/>
      </c>
      <c r="I331">
        <f>IF(I329=1,1-(1-$B$323)*$B$327,IF(I329=2,1-(1-$B$324)*$B$327,1))*I330</f>
        <v/>
      </c>
      <c r="J331">
        <f>IF(J329=1,1-(1-$B$323)*$B$327,IF(J329=2,1-(1-$B$324)*$B$327,1))*J330</f>
        <v/>
      </c>
      <c r="K331">
        <f>IF(K329=1,1-(1-$B$323)*$B$327,IF(K329=2,1-(1-$B$324)*$B$327,1))*K330</f>
        <v/>
      </c>
      <c r="L331">
        <f>IF(L329=1,1-(1-$B$323)*$B$327,IF(L329=2,1-(1-$B$324)*$B$327,1))*L330</f>
        <v/>
      </c>
      <c r="M331">
        <f>IF(M329=1,1-(1-$B$323)*$B$327,IF(M329=2,1-(1-$B$324)*$B$327,1))*M330</f>
        <v/>
      </c>
      <c r="N331">
        <f>IF(N329=1,1-(1-$B$323)*$B$327,IF(N329=2,1-(1-$B$324)*$B$327,1))*N330</f>
        <v/>
      </c>
      <c r="O331">
        <f>IF(O329=1,1-(1-$B$323)*$B$327,IF(O329=2,1-(1-$B$324)*$B$327,1))*O330</f>
        <v/>
      </c>
      <c r="P331">
        <f>IF(P329=1,1-(1-$B$323)*$B$327,IF(P329=2,1-(1-$B$324)*$B$327,1))*P330</f>
        <v/>
      </c>
      <c r="Q331">
        <f>IF(Q329=1,1-(1-$B$323)*$B$327,IF(Q329=2,1-(1-$B$324)*$B$327,1))*Q330</f>
        <v/>
      </c>
      <c r="R331">
        <f>IF(R329=1,1-(1-$B$323)*$B$327,IF(R329=2,1-(1-$B$324)*$B$327,1))*R330</f>
        <v/>
      </c>
    </row>
    <row r="332">
      <c r="A332" t="inlineStr">
        <is>
          <t>Sales volume (year-1 prices)</t>
        </is>
      </c>
      <c r="C332">
        <f>area_sqft*$B$319*C331</f>
        <v/>
      </c>
      <c r="D332">
        <f>area_sqft*$B$319*D331</f>
        <v/>
      </c>
      <c r="E332">
        <f>area_sqft*$B$319*E331</f>
        <v/>
      </c>
      <c r="F332">
        <f>area_sqft*$B$319*F331</f>
        <v/>
      </c>
      <c r="G332">
        <f>area_sqft*$B$319*G331</f>
        <v/>
      </c>
      <c r="H332">
        <f>area_sqft*$B$319*H331</f>
        <v/>
      </c>
      <c r="I332">
        <f>area_sqft*$B$319*I331</f>
        <v/>
      </c>
      <c r="J332">
        <f>area_sqft*$B$319*J331</f>
        <v/>
      </c>
      <c r="K332">
        <f>area_sqft*$B$319*K331</f>
        <v/>
      </c>
      <c r="L332">
        <f>area_sqft*$B$319*L331</f>
        <v/>
      </c>
      <c r="M332">
        <f>area_sqft*$B$319*M331</f>
        <v/>
      </c>
      <c r="N332">
        <f>area_sqft*$B$319*N331</f>
        <v/>
      </c>
      <c r="O332">
        <f>area_sqft*$B$319*O331</f>
        <v/>
      </c>
      <c r="P332">
        <f>area_sqft*$B$319*P331</f>
        <v/>
      </c>
      <c r="Q332">
        <f>area_sqft*$B$319*Q331</f>
        <v/>
      </c>
      <c r="R332">
        <f>area_sqft*$B$319*R331</f>
        <v/>
      </c>
    </row>
    <row r="333">
      <c r="A333" t="inlineStr">
        <is>
          <t>Sales growth index</t>
        </is>
      </c>
      <c r="C333">
        <f>IF(C330=1,(1+sales_growth)^(C329-1),0)</f>
        <v/>
      </c>
      <c r="D333">
        <f>IF(D330=1,(1+sales_growth)^(D329-1),0)</f>
        <v/>
      </c>
      <c r="E333">
        <f>IF(E330=1,(1+sales_growth)^(E329-1),0)</f>
        <v/>
      </c>
      <c r="F333">
        <f>IF(F330=1,(1+sales_growth)^(F329-1),0)</f>
        <v/>
      </c>
      <c r="G333">
        <f>IF(G330=1,(1+sales_growth)^(G329-1),0)</f>
        <v/>
      </c>
      <c r="H333">
        <f>IF(H330=1,(1+sales_growth)^(H329-1),0)</f>
        <v/>
      </c>
      <c r="I333">
        <f>IF(I330=1,(1+sales_growth)^(I329-1),0)</f>
        <v/>
      </c>
      <c r="J333">
        <f>IF(J330=1,(1+sales_growth)^(J329-1),0)</f>
        <v/>
      </c>
      <c r="K333">
        <f>IF(K330=1,(1+sales_growth)^(K329-1),0)</f>
        <v/>
      </c>
      <c r="L333">
        <f>IF(L330=1,(1+sales_growth)^(L329-1),0)</f>
        <v/>
      </c>
      <c r="M333">
        <f>IF(M330=1,(1+sales_growth)^(M329-1),0)</f>
        <v/>
      </c>
      <c r="N333">
        <f>IF(N330=1,(1+sales_growth)^(N329-1),0)</f>
        <v/>
      </c>
      <c r="O333">
        <f>IF(O330=1,(1+sales_growth)^(O329-1),0)</f>
        <v/>
      </c>
      <c r="P333">
        <f>IF(P330=1,(1+sales_growth)^(P329-1),0)</f>
        <v/>
      </c>
      <c r="Q333">
        <f>IF(Q330=1,(1+sales_growth)^(Q329-1),0)</f>
        <v/>
      </c>
      <c r="R333">
        <f>IF(R330=1,(1+sales_growth)^(R329-1),0)</f>
        <v/>
      </c>
    </row>
    <row r="334">
      <c r="A334" t="inlineStr">
        <is>
          <t>Sales</t>
        </is>
      </c>
      <c r="C334">
        <f>C332*C333</f>
        <v/>
      </c>
      <c r="D334">
        <f>D332*D333</f>
        <v/>
      </c>
      <c r="E334">
        <f>E332*E333</f>
        <v/>
      </c>
      <c r="F334">
        <f>F332*F333</f>
        <v/>
      </c>
      <c r="G334">
        <f>G332*G333</f>
        <v/>
      </c>
      <c r="H334">
        <f>H332*H333</f>
        <v/>
      </c>
      <c r="I334">
        <f>I332*I333</f>
        <v/>
      </c>
      <c r="J334">
        <f>J332*J333</f>
        <v/>
      </c>
      <c r="K334">
        <f>K332*K333</f>
        <v/>
      </c>
      <c r="L334">
        <f>L332*L333</f>
        <v/>
      </c>
      <c r="M334">
        <f>M332*M333</f>
        <v/>
      </c>
      <c r="N334">
        <f>N332*N333</f>
        <v/>
      </c>
      <c r="O334">
        <f>O332*O333</f>
        <v/>
      </c>
      <c r="P334">
        <f>P332*P333</f>
        <v/>
      </c>
      <c r="Q334">
        <f>Q332*Q333</f>
        <v/>
      </c>
      <c r="R334">
        <f>R332*R333</f>
        <v/>
      </c>
    </row>
    <row r="335">
      <c r="A335" t="inlineStr">
        <is>
          <t>Gross margin</t>
        </is>
      </c>
      <c r="C335">
        <f>C334*$B$320</f>
        <v/>
      </c>
      <c r="D335">
        <f>D334*$B$320</f>
        <v/>
      </c>
      <c r="E335">
        <f>E334*$B$320</f>
        <v/>
      </c>
      <c r="F335">
        <f>F334*$B$320</f>
        <v/>
      </c>
      <c r="G335">
        <f>G334*$B$320</f>
        <v/>
      </c>
      <c r="H335">
        <f>H334*$B$320</f>
        <v/>
      </c>
      <c r="I335">
        <f>I334*$B$320</f>
        <v/>
      </c>
      <c r="J335">
        <f>J334*$B$320</f>
        <v/>
      </c>
      <c r="K335">
        <f>K334*$B$320</f>
        <v/>
      </c>
      <c r="L335">
        <f>L334*$B$320</f>
        <v/>
      </c>
      <c r="M335">
        <f>M334*$B$320</f>
        <v/>
      </c>
      <c r="N335">
        <f>N334*$B$320</f>
        <v/>
      </c>
      <c r="O335">
        <f>O334*$B$320</f>
        <v/>
      </c>
      <c r="P335">
        <f>P334*$B$320</f>
        <v/>
      </c>
      <c r="Q335">
        <f>Q334*$B$320</f>
        <v/>
      </c>
      <c r="R335">
        <f>R334*$B$320</f>
        <v/>
      </c>
    </row>
    <row r="336">
      <c r="A336" t="inlineStr">
        <is>
          <t>Wage index</t>
        </is>
      </c>
      <c r="C336">
        <f>IF(C330=1,(1+wage_inflation)^(C329-1),0)</f>
        <v/>
      </c>
      <c r="D336">
        <f>IF(D330=1,(1+wage_inflation)^(D329-1),0)</f>
        <v/>
      </c>
      <c r="E336">
        <f>IF(E330=1,(1+wage_inflation)^(E329-1),0)</f>
        <v/>
      </c>
      <c r="F336">
        <f>IF(F330=1,(1+wage_inflation)^(F329-1),0)</f>
        <v/>
      </c>
      <c r="G336">
        <f>IF(G330=1,(1+wage_inflation)^(G329-1),0)</f>
        <v/>
      </c>
      <c r="H336">
        <f>IF(H330=1,(1+wage_inflation)^(H329-1),0)</f>
        <v/>
      </c>
      <c r="I336">
        <f>IF(I330=1,(1+wage_inflation)^(I329-1),0)</f>
        <v/>
      </c>
      <c r="J336">
        <f>IF(J330=1,(1+wage_inflation)^(J329-1),0)</f>
        <v/>
      </c>
      <c r="K336">
        <f>IF(K330=1,(1+wage_inflation)^(K329-1),0)</f>
        <v/>
      </c>
      <c r="L336">
        <f>IF(L330=1,(1+wage_inflation)^(L329-1),0)</f>
        <v/>
      </c>
      <c r="M336">
        <f>IF(M330=1,(1+wage_inflation)^(M329-1),0)</f>
        <v/>
      </c>
      <c r="N336">
        <f>IF(N330=1,(1+wage_inflation)^(N329-1),0)</f>
        <v/>
      </c>
      <c r="O336">
        <f>IF(O330=1,(1+wage_inflation)^(O329-1),0)</f>
        <v/>
      </c>
      <c r="P336">
        <f>IF(P330=1,(1+wage_inflation)^(P329-1),0)</f>
        <v/>
      </c>
      <c r="Q336">
        <f>IF(Q330=1,(1+wage_inflation)^(Q329-1),0)</f>
        <v/>
      </c>
      <c r="R336">
        <f>IF(R330=1,(1+wage_inflation)^(R329-1),0)</f>
        <v/>
      </c>
    </row>
    <row r="337">
      <c r="A337" t="inlineStr">
        <is>
          <t>Payroll</t>
        </is>
      </c>
      <c r="C337">
        <f>(fixed_payroll*C330+variable_cost_per_k*C332/1000)*C336*$B$326</f>
        <v/>
      </c>
      <c r="D337">
        <f>(fixed_payroll*D330+variable_cost_per_k*D332/1000)*D336*$B$326</f>
        <v/>
      </c>
      <c r="E337">
        <f>(fixed_payroll*E330+variable_cost_per_k*E332/1000)*E336*$B$326</f>
        <v/>
      </c>
      <c r="F337">
        <f>(fixed_payroll*F330+variable_cost_per_k*F332/1000)*F336*$B$326</f>
        <v/>
      </c>
      <c r="G337">
        <f>(fixed_payroll*G330+variable_cost_per_k*G332/1000)*G336*$B$326</f>
        <v/>
      </c>
      <c r="H337">
        <f>(fixed_payroll*H330+variable_cost_per_k*H332/1000)*H336*$B$326</f>
        <v/>
      </c>
      <c r="I337">
        <f>(fixed_payroll*I330+variable_cost_per_k*I332/1000)*I336*$B$326</f>
        <v/>
      </c>
      <c r="J337">
        <f>(fixed_payroll*J330+variable_cost_per_k*J332/1000)*J336*$B$326</f>
        <v/>
      </c>
      <c r="K337">
        <f>(fixed_payroll*K330+variable_cost_per_k*K332/1000)*K336*$B$326</f>
        <v/>
      </c>
      <c r="L337">
        <f>(fixed_payroll*L330+variable_cost_per_k*L332/1000)*L336*$B$326</f>
        <v/>
      </c>
      <c r="M337">
        <f>(fixed_payroll*M330+variable_cost_per_k*M332/1000)*M336*$B$326</f>
        <v/>
      </c>
      <c r="N337">
        <f>(fixed_payroll*N330+variable_cost_per_k*N332/1000)*N336*$B$326</f>
        <v/>
      </c>
      <c r="O337">
        <f>(fixed_payroll*O330+variable_cost_per_k*O332/1000)*O336*$B$326</f>
        <v/>
      </c>
      <c r="P337">
        <f>(fixed_payroll*P330+variable_cost_per_k*P332/1000)*P336*$B$326</f>
        <v/>
      </c>
      <c r="Q337">
        <f>(fixed_payroll*Q330+variable_cost_per_k*Q332/1000)*Q336*$B$326</f>
        <v/>
      </c>
      <c r="R337">
        <f>(fixed_payroll*R330+variable_cost_per_k*R332/1000)*R336*$B$326</f>
        <v/>
      </c>
    </row>
    <row r="338">
      <c r="A338" t="inlineStr">
        <is>
          <t>Rent</t>
        </is>
      </c>
      <c r="C338">
        <f>$B$321*(1+IF(C329&gt;=6,rent_review_uplift,0))*C330*$B$325</f>
        <v/>
      </c>
      <c r="D338">
        <f>$B$321*(1+IF(D329&gt;=6,rent_review_uplift,0))*D330*$B$325</f>
        <v/>
      </c>
      <c r="E338">
        <f>$B$321*(1+IF(E329&gt;=6,rent_review_uplift,0))*E330*$B$325</f>
        <v/>
      </c>
      <c r="F338">
        <f>$B$321*(1+IF(F329&gt;=6,rent_review_uplift,0))*F330*$B$325</f>
        <v/>
      </c>
      <c r="G338">
        <f>$B$321*(1+IF(G329&gt;=6,rent_review_uplift,0))*G330*$B$325</f>
        <v/>
      </c>
      <c r="H338">
        <f>$B$321*(1+IF(H329&gt;=6,rent_review_uplift,0))*H330*$B$325</f>
        <v/>
      </c>
      <c r="I338">
        <f>$B$321*(1+IF(I329&gt;=6,rent_review_uplift,0))*I330*$B$325</f>
        <v/>
      </c>
      <c r="J338">
        <f>$B$321*(1+IF(J329&gt;=6,rent_review_uplift,0))*J330*$B$325</f>
        <v/>
      </c>
      <c r="K338">
        <f>$B$321*(1+IF(K329&gt;=6,rent_review_uplift,0))*K330*$B$325</f>
        <v/>
      </c>
      <c r="L338">
        <f>$B$321*(1+IF(L329&gt;=6,rent_review_uplift,0))*L330*$B$325</f>
        <v/>
      </c>
      <c r="M338">
        <f>$B$321*(1+IF(M329&gt;=6,rent_review_uplift,0))*M330*$B$325</f>
        <v/>
      </c>
      <c r="N338">
        <f>$B$321*(1+IF(N329&gt;=6,rent_review_uplift,0))*N330*$B$325</f>
        <v/>
      </c>
      <c r="O338">
        <f>$B$321*(1+IF(O329&gt;=6,rent_review_uplift,0))*O330*$B$325</f>
        <v/>
      </c>
      <c r="P338">
        <f>$B$321*(1+IF(P329&gt;=6,rent_review_uplift,0))*P330*$B$325</f>
        <v/>
      </c>
      <c r="Q338">
        <f>$B$321*(1+IF(Q329&gt;=6,rent_review_uplift,0))*Q330*$B$325</f>
        <v/>
      </c>
      <c r="R338">
        <f>$B$321*(1+IF(R329&gt;=6,rent_review_uplift,0))*R330*$B$325</f>
        <v/>
      </c>
    </row>
    <row r="339">
      <c r="A339" t="inlineStr">
        <is>
          <t>Cost index</t>
        </is>
      </c>
      <c r="C339">
        <f>IF(C330=1,(1+cost_inflation)^(C329-1),0)</f>
        <v/>
      </c>
      <c r="D339">
        <f>IF(D330=1,(1+cost_inflation)^(D329-1),0)</f>
        <v/>
      </c>
      <c r="E339">
        <f>IF(E330=1,(1+cost_inflation)^(E329-1),0)</f>
        <v/>
      </c>
      <c r="F339">
        <f>IF(F330=1,(1+cost_inflation)^(F329-1),0)</f>
        <v/>
      </c>
      <c r="G339">
        <f>IF(G330=1,(1+cost_inflation)^(G329-1),0)</f>
        <v/>
      </c>
      <c r="H339">
        <f>IF(H330=1,(1+cost_inflation)^(H329-1),0)</f>
        <v/>
      </c>
      <c r="I339">
        <f>IF(I330=1,(1+cost_inflation)^(I329-1),0)</f>
        <v/>
      </c>
      <c r="J339">
        <f>IF(J330=1,(1+cost_inflation)^(J329-1),0)</f>
        <v/>
      </c>
      <c r="K339">
        <f>IF(K330=1,(1+cost_inflation)^(K329-1),0)</f>
        <v/>
      </c>
      <c r="L339">
        <f>IF(L330=1,(1+cost_inflation)^(L329-1),0)</f>
        <v/>
      </c>
      <c r="M339">
        <f>IF(M330=1,(1+cost_inflation)^(M329-1),0)</f>
        <v/>
      </c>
      <c r="N339">
        <f>IF(N330=1,(1+cost_inflation)^(N329-1),0)</f>
        <v/>
      </c>
      <c r="O339">
        <f>IF(O330=1,(1+cost_inflation)^(O329-1),0)</f>
        <v/>
      </c>
      <c r="P339">
        <f>IF(P330=1,(1+cost_inflation)^(P329-1),0)</f>
        <v/>
      </c>
      <c r="Q339">
        <f>IF(Q330=1,(1+cost_inflation)^(Q329-1),0)</f>
        <v/>
      </c>
      <c r="R339">
        <f>IF(R330=1,(1+cost_inflation)^(R329-1),0)</f>
        <v/>
      </c>
    </row>
    <row r="340">
      <c r="A340" t="inlineStr">
        <is>
          <t>Business rates</t>
        </is>
      </c>
      <c r="C340">
        <f>rateable_value*IF(rateable_value&lt;51000,rates_multiplier_rhl_small,IF(rateable_value&lt;500000,rates_multiplier_rhl_standard,rates_multiplier_high_value))*C339</f>
        <v/>
      </c>
      <c r="D340">
        <f>rateable_value*IF(rateable_value&lt;51000,rates_multiplier_rhl_small,IF(rateable_value&lt;500000,rates_multiplier_rhl_standard,rates_multiplier_high_value))*D339</f>
        <v/>
      </c>
      <c r="E340">
        <f>rateable_value*IF(rateable_value&lt;51000,rates_multiplier_rhl_small,IF(rateable_value&lt;500000,rates_multiplier_rhl_standard,rates_multiplier_high_value))*E339</f>
        <v/>
      </c>
      <c r="F340">
        <f>rateable_value*IF(rateable_value&lt;51000,rates_multiplier_rhl_small,IF(rateable_value&lt;500000,rates_multiplier_rhl_standard,rates_multiplier_high_value))*F339</f>
        <v/>
      </c>
      <c r="G340">
        <f>rateable_value*IF(rateable_value&lt;51000,rates_multiplier_rhl_small,IF(rateable_value&lt;500000,rates_multiplier_rhl_standard,rates_multiplier_high_value))*G339</f>
        <v/>
      </c>
      <c r="H340">
        <f>rateable_value*IF(rateable_value&lt;51000,rates_multiplier_rhl_small,IF(rateable_value&lt;500000,rates_multiplier_rhl_standard,rates_multiplier_high_value))*H339</f>
        <v/>
      </c>
      <c r="I340">
        <f>rateable_value*IF(rateable_value&lt;51000,rates_multiplier_rhl_small,IF(rateable_value&lt;500000,rates_multiplier_rhl_standard,rates_multiplier_high_value))*I339</f>
        <v/>
      </c>
      <c r="J340">
        <f>rateable_value*IF(rateable_value&lt;51000,rates_multiplier_rhl_small,IF(rateable_value&lt;500000,rates_multiplier_rhl_standard,rates_multiplier_high_value))*J339</f>
        <v/>
      </c>
      <c r="K340">
        <f>rateable_value*IF(rateable_value&lt;51000,rates_multiplier_rhl_small,IF(rateable_value&lt;500000,rates_multiplier_rhl_standard,rates_multiplier_high_value))*K339</f>
        <v/>
      </c>
      <c r="L340">
        <f>rateable_value*IF(rateable_value&lt;51000,rates_multiplier_rhl_small,IF(rateable_value&lt;500000,rates_multiplier_rhl_standard,rates_multiplier_high_value))*L339</f>
        <v/>
      </c>
      <c r="M340">
        <f>rateable_value*IF(rateable_value&lt;51000,rates_multiplier_rhl_small,IF(rateable_value&lt;500000,rates_multiplier_rhl_standard,rates_multiplier_high_value))*M339</f>
        <v/>
      </c>
      <c r="N340">
        <f>rateable_value*IF(rateable_value&lt;51000,rates_multiplier_rhl_small,IF(rateable_value&lt;500000,rates_multiplier_rhl_standard,rates_multiplier_high_value))*N339</f>
        <v/>
      </c>
      <c r="O340">
        <f>rateable_value*IF(rateable_value&lt;51000,rates_multiplier_rhl_small,IF(rateable_value&lt;500000,rates_multiplier_rhl_standard,rates_multiplier_high_value))*O339</f>
        <v/>
      </c>
      <c r="P340">
        <f>rateable_value*IF(rateable_value&lt;51000,rates_multiplier_rhl_small,IF(rateable_value&lt;500000,rates_multiplier_rhl_standard,rates_multiplier_high_value))*P339</f>
        <v/>
      </c>
      <c r="Q340">
        <f>rateable_value*IF(rateable_value&lt;51000,rates_multiplier_rhl_small,IF(rateable_value&lt;500000,rates_multiplier_rhl_standard,rates_multiplier_high_value))*Q339</f>
        <v/>
      </c>
      <c r="R340">
        <f>rateable_value*IF(rateable_value&lt;51000,rates_multiplier_rhl_small,IF(rateable_value&lt;500000,rates_multiplier_rhl_standard,rates_multiplier_high_value))*R339</f>
        <v/>
      </c>
    </row>
    <row r="341">
      <c r="A341" t="inlineStr">
        <is>
          <t>Service charge, utilities, insurance</t>
        </is>
      </c>
      <c r="C341">
        <f>occupancy_other_psf*area_sqft*C339</f>
        <v/>
      </c>
      <c r="D341">
        <f>occupancy_other_psf*area_sqft*D339</f>
        <v/>
      </c>
      <c r="E341">
        <f>occupancy_other_psf*area_sqft*E339</f>
        <v/>
      </c>
      <c r="F341">
        <f>occupancy_other_psf*area_sqft*F339</f>
        <v/>
      </c>
      <c r="G341">
        <f>occupancy_other_psf*area_sqft*G339</f>
        <v/>
      </c>
      <c r="H341">
        <f>occupancy_other_psf*area_sqft*H339</f>
        <v/>
      </c>
      <c r="I341">
        <f>occupancy_other_psf*area_sqft*I339</f>
        <v/>
      </c>
      <c r="J341">
        <f>occupancy_other_psf*area_sqft*J339</f>
        <v/>
      </c>
      <c r="K341">
        <f>occupancy_other_psf*area_sqft*K339</f>
        <v/>
      </c>
      <c r="L341">
        <f>occupancy_other_psf*area_sqft*L339</f>
        <v/>
      </c>
      <c r="M341">
        <f>occupancy_other_psf*area_sqft*M339</f>
        <v/>
      </c>
      <c r="N341">
        <f>occupancy_other_psf*area_sqft*N339</f>
        <v/>
      </c>
      <c r="O341">
        <f>occupancy_other_psf*area_sqft*O339</f>
        <v/>
      </c>
      <c r="P341">
        <f>occupancy_other_psf*area_sqft*P339</f>
        <v/>
      </c>
      <c r="Q341">
        <f>occupancy_other_psf*area_sqft*Q339</f>
        <v/>
      </c>
      <c r="R341">
        <f>occupancy_other_psf*area_sqft*R339</f>
        <v/>
      </c>
    </row>
    <row r="342">
      <c r="A342" t="inlineStr">
        <is>
          <t>Other store opex</t>
        </is>
      </c>
      <c r="C342">
        <f>C334*other_opex_pct_sales</f>
        <v/>
      </c>
      <c r="D342">
        <f>D334*other_opex_pct_sales</f>
        <v/>
      </c>
      <c r="E342">
        <f>E334*other_opex_pct_sales</f>
        <v/>
      </c>
      <c r="F342">
        <f>F334*other_opex_pct_sales</f>
        <v/>
      </c>
      <c r="G342">
        <f>G334*other_opex_pct_sales</f>
        <v/>
      </c>
      <c r="H342">
        <f>H334*other_opex_pct_sales</f>
        <v/>
      </c>
      <c r="I342">
        <f>I334*other_opex_pct_sales</f>
        <v/>
      </c>
      <c r="J342">
        <f>J334*other_opex_pct_sales</f>
        <v/>
      </c>
      <c r="K342">
        <f>K334*other_opex_pct_sales</f>
        <v/>
      </c>
      <c r="L342">
        <f>L334*other_opex_pct_sales</f>
        <v/>
      </c>
      <c r="M342">
        <f>M334*other_opex_pct_sales</f>
        <v/>
      </c>
      <c r="N342">
        <f>N334*other_opex_pct_sales</f>
        <v/>
      </c>
      <c r="O342">
        <f>O334*other_opex_pct_sales</f>
        <v/>
      </c>
      <c r="P342">
        <f>P334*other_opex_pct_sales</f>
        <v/>
      </c>
      <c r="Q342">
        <f>Q334*other_opex_pct_sales</f>
        <v/>
      </c>
      <c r="R342">
        <f>R334*other_opex_pct_sales</f>
        <v/>
      </c>
    </row>
    <row r="343">
      <c r="A343" t="inlineStr">
        <is>
          <t>Store EBITDA (4-wall)</t>
        </is>
      </c>
      <c r="C343">
        <f>C335-C337-C338-C340-C341-C342</f>
        <v/>
      </c>
      <c r="D343">
        <f>D335-D337-D338-D340-D341-D342</f>
        <v/>
      </c>
      <c r="E343">
        <f>E335-E337-E338-E340-E341-E342</f>
        <v/>
      </c>
      <c r="F343">
        <f>F335-F337-F338-F340-F341-F342</f>
        <v/>
      </c>
      <c r="G343">
        <f>G335-G337-G338-G340-G341-G342</f>
        <v/>
      </c>
      <c r="H343">
        <f>H335-H337-H338-H340-H341-H342</f>
        <v/>
      </c>
      <c r="I343">
        <f>I335-I337-I338-I340-I341-I342</f>
        <v/>
      </c>
      <c r="J343">
        <f>J335-J337-J338-J340-J341-J342</f>
        <v/>
      </c>
      <c r="K343">
        <f>K335-K337-K338-K340-K341-K342</f>
        <v/>
      </c>
      <c r="L343">
        <f>L335-L337-L338-L340-L341-L342</f>
        <v/>
      </c>
      <c r="M343">
        <f>M335-M337-M338-M340-M341-M342</f>
        <v/>
      </c>
      <c r="N343">
        <f>N335-N337-N338-N340-N341-N342</f>
        <v/>
      </c>
      <c r="O343">
        <f>O335-O337-O338-O340-O341-O342</f>
        <v/>
      </c>
      <c r="P343">
        <f>P335-P337-P338-P340-P341-P342</f>
        <v/>
      </c>
      <c r="Q343">
        <f>Q335-Q337-Q338-Q340-Q341-Q342</f>
        <v/>
      </c>
      <c r="R343">
        <f>R335-R337-R338-R340-R341-R342</f>
        <v/>
      </c>
    </row>
    <row r="344">
      <c r="A344" t="inlineStr">
        <is>
          <t>Pre-opening costs</t>
        </is>
      </c>
      <c r="C344">
        <f>IF(C329=0,pre_opening_costs,0)</f>
        <v/>
      </c>
      <c r="D344">
        <f>IF(D329=0,pre_opening_costs,0)</f>
        <v/>
      </c>
      <c r="E344">
        <f>IF(E329=0,pre_opening_costs,0)</f>
        <v/>
      </c>
      <c r="F344">
        <f>IF(F329=0,pre_opening_costs,0)</f>
        <v/>
      </c>
      <c r="G344">
        <f>IF(G329=0,pre_opening_costs,0)</f>
        <v/>
      </c>
      <c r="H344">
        <f>IF(H329=0,pre_opening_costs,0)</f>
        <v/>
      </c>
      <c r="I344">
        <f>IF(I329=0,pre_opening_costs,0)</f>
        <v/>
      </c>
      <c r="J344">
        <f>IF(J329=0,pre_opening_costs,0)</f>
        <v/>
      </c>
      <c r="K344">
        <f>IF(K329=0,pre_opening_costs,0)</f>
        <v/>
      </c>
      <c r="L344">
        <f>IF(L329=0,pre_opening_costs,0)</f>
        <v/>
      </c>
      <c r="M344">
        <f>IF(M329=0,pre_opening_costs,0)</f>
        <v/>
      </c>
      <c r="N344">
        <f>IF(N329=0,pre_opening_costs,0)</f>
        <v/>
      </c>
      <c r="O344">
        <f>IF(O329=0,pre_opening_costs,0)</f>
        <v/>
      </c>
      <c r="P344">
        <f>IF(P329=0,pre_opening_costs,0)</f>
        <v/>
      </c>
      <c r="Q344">
        <f>IF(Q329=0,pre_opening_costs,0)</f>
        <v/>
      </c>
      <c r="R344">
        <f>IF(R329=0,pre_opening_costs,0)</f>
        <v/>
      </c>
    </row>
    <row r="345">
      <c r="A345" t="inlineStr">
        <is>
          <t>Fit-out capex</t>
        </is>
      </c>
      <c r="C345">
        <f>IF(C329=0,$B$322,0)</f>
        <v/>
      </c>
      <c r="D345">
        <f>IF(D329=0,$B$322,0)</f>
        <v/>
      </c>
      <c r="E345">
        <f>IF(E329=0,$B$322,0)</f>
        <v/>
      </c>
      <c r="F345">
        <f>IF(F329=0,$B$322,0)</f>
        <v/>
      </c>
      <c r="G345">
        <f>IF(G329=0,$B$322,0)</f>
        <v/>
      </c>
      <c r="H345">
        <f>IF(H329=0,$B$322,0)</f>
        <v/>
      </c>
      <c r="I345">
        <f>IF(I329=0,$B$322,0)</f>
        <v/>
      </c>
      <c r="J345">
        <f>IF(J329=0,$B$322,0)</f>
        <v/>
      </c>
      <c r="K345">
        <f>IF(K329=0,$B$322,0)</f>
        <v/>
      </c>
      <c r="L345">
        <f>IF(L329=0,$B$322,0)</f>
        <v/>
      </c>
      <c r="M345">
        <f>IF(M329=0,$B$322,0)</f>
        <v/>
      </c>
      <c r="N345">
        <f>IF(N329=0,$B$322,0)</f>
        <v/>
      </c>
      <c r="O345">
        <f>IF(O329=0,$B$322,0)</f>
        <v/>
      </c>
      <c r="P345">
        <f>IF(P329=0,$B$322,0)</f>
        <v/>
      </c>
      <c r="Q345">
        <f>IF(Q329=0,$B$322,0)</f>
        <v/>
      </c>
      <c r="R345">
        <f>IF(R329=0,$B$322,0)</f>
        <v/>
      </c>
    </row>
    <row r="346">
      <c r="A346" t="inlineStr">
        <is>
          <t>Tax depreciation</t>
        </is>
      </c>
      <c r="C346">
        <f>IF(AND(C329&gt;=1,C329&lt;=tax_depreciation_years,C329&lt;=lease_term_years),$B$322/tax_depreciation_years,0)</f>
        <v/>
      </c>
      <c r="D346">
        <f>IF(AND(D329&gt;=1,D329&lt;=tax_depreciation_years,D329&lt;=lease_term_years),$B$322/tax_depreciation_years,0)</f>
        <v/>
      </c>
      <c r="E346">
        <f>IF(AND(E329&gt;=1,E329&lt;=tax_depreciation_years,E329&lt;=lease_term_years),$B$322/tax_depreciation_years,0)</f>
        <v/>
      </c>
      <c r="F346">
        <f>IF(AND(F329&gt;=1,F329&lt;=tax_depreciation_years,F329&lt;=lease_term_years),$B$322/tax_depreciation_years,0)</f>
        <v/>
      </c>
      <c r="G346">
        <f>IF(AND(G329&gt;=1,G329&lt;=tax_depreciation_years,G329&lt;=lease_term_years),$B$322/tax_depreciation_years,0)</f>
        <v/>
      </c>
      <c r="H346">
        <f>IF(AND(H329&gt;=1,H329&lt;=tax_depreciation_years,H329&lt;=lease_term_years),$B$322/tax_depreciation_years,0)</f>
        <v/>
      </c>
      <c r="I346">
        <f>IF(AND(I329&gt;=1,I329&lt;=tax_depreciation_years,I329&lt;=lease_term_years),$B$322/tax_depreciation_years,0)</f>
        <v/>
      </c>
      <c r="J346">
        <f>IF(AND(J329&gt;=1,J329&lt;=tax_depreciation_years,J329&lt;=lease_term_years),$B$322/tax_depreciation_years,0)</f>
        <v/>
      </c>
      <c r="K346">
        <f>IF(AND(K329&gt;=1,K329&lt;=tax_depreciation_years,K329&lt;=lease_term_years),$B$322/tax_depreciation_years,0)</f>
        <v/>
      </c>
      <c r="L346">
        <f>IF(AND(L329&gt;=1,L329&lt;=tax_depreciation_years,L329&lt;=lease_term_years),$B$322/tax_depreciation_years,0)</f>
        <v/>
      </c>
      <c r="M346">
        <f>IF(AND(M329&gt;=1,M329&lt;=tax_depreciation_years,M329&lt;=lease_term_years),$B$322/tax_depreciation_years,0)</f>
        <v/>
      </c>
      <c r="N346">
        <f>IF(AND(N329&gt;=1,N329&lt;=tax_depreciation_years,N329&lt;=lease_term_years),$B$322/tax_depreciation_years,0)</f>
        <v/>
      </c>
      <c r="O346">
        <f>IF(AND(O329&gt;=1,O329&lt;=tax_depreciation_years,O329&lt;=lease_term_years),$B$322/tax_depreciation_years,0)</f>
        <v/>
      </c>
      <c r="P346">
        <f>IF(AND(P329&gt;=1,P329&lt;=tax_depreciation_years,P329&lt;=lease_term_years),$B$322/tax_depreciation_years,0)</f>
        <v/>
      </c>
      <c r="Q346">
        <f>IF(AND(Q329&gt;=1,Q329&lt;=tax_depreciation_years,Q329&lt;=lease_term_years),$B$322/tax_depreciation_years,0)</f>
        <v/>
      </c>
      <c r="R346">
        <f>IF(AND(R329&gt;=1,R329&lt;=tax_depreciation_years,R329&lt;=lease_term_years),$B$322/tax_depreciation_years,0)</f>
        <v/>
      </c>
    </row>
    <row r="347">
      <c r="A347" t="inlineStr">
        <is>
          <t>Dilapidations</t>
        </is>
      </c>
      <c r="C347">
        <f>IF(C329=lease_term_years,dilapidations_at_exit,0)</f>
        <v/>
      </c>
      <c r="D347">
        <f>IF(D329=lease_term_years,dilapidations_at_exit,0)</f>
        <v/>
      </c>
      <c r="E347">
        <f>IF(E329=lease_term_years,dilapidations_at_exit,0)</f>
        <v/>
      </c>
      <c r="F347">
        <f>IF(F329=lease_term_years,dilapidations_at_exit,0)</f>
        <v/>
      </c>
      <c r="G347">
        <f>IF(G329=lease_term_years,dilapidations_at_exit,0)</f>
        <v/>
      </c>
      <c r="H347">
        <f>IF(H329=lease_term_years,dilapidations_at_exit,0)</f>
        <v/>
      </c>
      <c r="I347">
        <f>IF(I329=lease_term_years,dilapidations_at_exit,0)</f>
        <v/>
      </c>
      <c r="J347">
        <f>IF(J329=lease_term_years,dilapidations_at_exit,0)</f>
        <v/>
      </c>
      <c r="K347">
        <f>IF(K329=lease_term_years,dilapidations_at_exit,0)</f>
        <v/>
      </c>
      <c r="L347">
        <f>IF(L329=lease_term_years,dilapidations_at_exit,0)</f>
        <v/>
      </c>
      <c r="M347">
        <f>IF(M329=lease_term_years,dilapidations_at_exit,0)</f>
        <v/>
      </c>
      <c r="N347">
        <f>IF(N329=lease_term_years,dilapidations_at_exit,0)</f>
        <v/>
      </c>
      <c r="O347">
        <f>IF(O329=lease_term_years,dilapidations_at_exit,0)</f>
        <v/>
      </c>
      <c r="P347">
        <f>IF(P329=lease_term_years,dilapidations_at_exit,0)</f>
        <v/>
      </c>
      <c r="Q347">
        <f>IF(Q329=lease_term_years,dilapidations_at_exit,0)</f>
        <v/>
      </c>
      <c r="R347">
        <f>IF(R329=lease_term_years,dilapidations_at_exit,0)</f>
        <v/>
      </c>
    </row>
    <row r="348">
      <c r="A348" t="inlineStr">
        <is>
          <t>Taxable profit</t>
        </is>
      </c>
      <c r="C348">
        <f>C343-C344-C346-C347</f>
        <v/>
      </c>
      <c r="D348">
        <f>D343-D344-D346-D347</f>
        <v/>
      </c>
      <c r="E348">
        <f>E343-E344-E346-E347</f>
        <v/>
      </c>
      <c r="F348">
        <f>F343-F344-F346-F347</f>
        <v/>
      </c>
      <c r="G348">
        <f>G343-G344-G346-G347</f>
        <v/>
      </c>
      <c r="H348">
        <f>H343-H344-H346-H347</f>
        <v/>
      </c>
      <c r="I348">
        <f>I343-I344-I346-I347</f>
        <v/>
      </c>
      <c r="J348">
        <f>J343-J344-J346-J347</f>
        <v/>
      </c>
      <c r="K348">
        <f>K343-K344-K346-K347</f>
        <v/>
      </c>
      <c r="L348">
        <f>L343-L344-L346-L347</f>
        <v/>
      </c>
      <c r="M348">
        <f>M343-M344-M346-M347</f>
        <v/>
      </c>
      <c r="N348">
        <f>N343-N344-N346-N347</f>
        <v/>
      </c>
      <c r="O348">
        <f>O343-O344-O346-O347</f>
        <v/>
      </c>
      <c r="P348">
        <f>P343-P344-P346-P347</f>
        <v/>
      </c>
      <c r="Q348">
        <f>Q343-Q344-Q346-Q347</f>
        <v/>
      </c>
      <c r="R348">
        <f>R343-R344-R346-R347</f>
        <v/>
      </c>
    </row>
    <row r="349">
      <c r="A349" t="inlineStr">
        <is>
          <t>Tax (negative = group relief)</t>
        </is>
      </c>
      <c r="C349">
        <f>C348*tax_rate</f>
        <v/>
      </c>
      <c r="D349">
        <f>D348*tax_rate</f>
        <v/>
      </c>
      <c r="E349">
        <f>E348*tax_rate</f>
        <v/>
      </c>
      <c r="F349">
        <f>F348*tax_rate</f>
        <v/>
      </c>
      <c r="G349">
        <f>G348*tax_rate</f>
        <v/>
      </c>
      <c r="H349">
        <f>H348*tax_rate</f>
        <v/>
      </c>
      <c r="I349">
        <f>I348*tax_rate</f>
        <v/>
      </c>
      <c r="J349">
        <f>J348*tax_rate</f>
        <v/>
      </c>
      <c r="K349">
        <f>K348*tax_rate</f>
        <v/>
      </c>
      <c r="L349">
        <f>L348*tax_rate</f>
        <v/>
      </c>
      <c r="M349">
        <f>M348*tax_rate</f>
        <v/>
      </c>
      <c r="N349">
        <f>N348*tax_rate</f>
        <v/>
      </c>
      <c r="O349">
        <f>O348*tax_rate</f>
        <v/>
      </c>
      <c r="P349">
        <f>P348*tax_rate</f>
        <v/>
      </c>
      <c r="Q349">
        <f>Q348*tax_rate</f>
        <v/>
      </c>
      <c r="R349">
        <f>R348*tax_rate</f>
        <v/>
      </c>
    </row>
    <row r="350">
      <c r="A350" t="inlineStr">
        <is>
          <t>Stock held</t>
        </is>
      </c>
      <c r="C350">
        <f>IF(C329&lt;lease_term_years,stock_pct_sales*D334,0)</f>
        <v/>
      </c>
      <c r="D350">
        <f>IF(D329&lt;lease_term_years,stock_pct_sales*E334,0)</f>
        <v/>
      </c>
      <c r="E350">
        <f>IF(E329&lt;lease_term_years,stock_pct_sales*F334,0)</f>
        <v/>
      </c>
      <c r="F350">
        <f>IF(F329&lt;lease_term_years,stock_pct_sales*G334,0)</f>
        <v/>
      </c>
      <c r="G350">
        <f>IF(G329&lt;lease_term_years,stock_pct_sales*H334,0)</f>
        <v/>
      </c>
      <c r="H350">
        <f>IF(H329&lt;lease_term_years,stock_pct_sales*I334,0)</f>
        <v/>
      </c>
      <c r="I350">
        <f>IF(I329&lt;lease_term_years,stock_pct_sales*J334,0)</f>
        <v/>
      </c>
      <c r="J350">
        <f>IF(J329&lt;lease_term_years,stock_pct_sales*K334,0)</f>
        <v/>
      </c>
      <c r="K350">
        <f>IF(K329&lt;lease_term_years,stock_pct_sales*L334,0)</f>
        <v/>
      </c>
      <c r="L350">
        <f>IF(L329&lt;lease_term_years,stock_pct_sales*M334,0)</f>
        <v/>
      </c>
      <c r="M350">
        <f>IF(M329&lt;lease_term_years,stock_pct_sales*N334,0)</f>
        <v/>
      </c>
      <c r="N350">
        <f>IF(N329&lt;lease_term_years,stock_pct_sales*O334,0)</f>
        <v/>
      </c>
      <c r="O350">
        <f>IF(O329&lt;lease_term_years,stock_pct_sales*P334,0)</f>
        <v/>
      </c>
      <c r="P350">
        <f>IF(P329&lt;lease_term_years,stock_pct_sales*Q334,0)</f>
        <v/>
      </c>
      <c r="Q350">
        <f>IF(Q329&lt;lease_term_years,stock_pct_sales*R334,0)</f>
        <v/>
      </c>
      <c r="R350">
        <f>0</f>
        <v/>
      </c>
    </row>
    <row r="351">
      <c r="A351" t="inlineStr">
        <is>
          <t>Change in stock</t>
        </is>
      </c>
      <c r="C351">
        <f>C350</f>
        <v/>
      </c>
      <c r="D351">
        <f>D350-C350</f>
        <v/>
      </c>
      <c r="E351">
        <f>E350-D350</f>
        <v/>
      </c>
      <c r="F351">
        <f>F350-E350</f>
        <v/>
      </c>
      <c r="G351">
        <f>G350-F350</f>
        <v/>
      </c>
      <c r="H351">
        <f>H350-G350</f>
        <v/>
      </c>
      <c r="I351">
        <f>I350-H350</f>
        <v/>
      </c>
      <c r="J351">
        <f>J350-I350</f>
        <v/>
      </c>
      <c r="K351">
        <f>K350-J350</f>
        <v/>
      </c>
      <c r="L351">
        <f>L350-K350</f>
        <v/>
      </c>
      <c r="M351">
        <f>M350-L350</f>
        <v/>
      </c>
      <c r="N351">
        <f>N350-M350</f>
        <v/>
      </c>
      <c r="O351">
        <f>O350-N350</f>
        <v/>
      </c>
      <c r="P351">
        <f>P350-O350</f>
        <v/>
      </c>
      <c r="Q351">
        <f>Q350-P350</f>
        <v/>
      </c>
      <c r="R351">
        <f>R350-Q350</f>
        <v/>
      </c>
    </row>
    <row r="352">
      <c r="A352" t="inlineStr">
        <is>
          <t>Free cash flow</t>
        </is>
      </c>
      <c r="C352">
        <f>C343-C344-C349-C345-C351-C347</f>
        <v/>
      </c>
      <c r="D352">
        <f>D343-D344-D349-D345-D351-D347</f>
        <v/>
      </c>
      <c r="E352">
        <f>E343-E344-E349-E345-E351-E347</f>
        <v/>
      </c>
      <c r="F352">
        <f>F343-F344-F349-F345-F351-F347</f>
        <v/>
      </c>
      <c r="G352">
        <f>G343-G344-G349-G345-G351-G347</f>
        <v/>
      </c>
      <c r="H352">
        <f>H343-H344-H349-H345-H351-H347</f>
        <v/>
      </c>
      <c r="I352">
        <f>I343-I344-I349-I345-I351-I347</f>
        <v/>
      </c>
      <c r="J352">
        <f>J343-J344-J349-J345-J351-J347</f>
        <v/>
      </c>
      <c r="K352">
        <f>K343-K344-K349-K345-K351-K347</f>
        <v/>
      </c>
      <c r="L352">
        <f>L343-L344-L349-L345-L351-L347</f>
        <v/>
      </c>
      <c r="M352">
        <f>M343-M344-M349-M345-M351-M347</f>
        <v/>
      </c>
      <c r="N352">
        <f>N343-N344-N349-N345-N351-N347</f>
        <v/>
      </c>
      <c r="O352">
        <f>O343-O344-O349-O345-O351-O347</f>
        <v/>
      </c>
      <c r="P352">
        <f>P343-P344-P349-P345-P351-P347</f>
        <v/>
      </c>
      <c r="Q352">
        <f>Q343-Q344-Q349-Q345-Q351-Q347</f>
        <v/>
      </c>
      <c r="R352">
        <f>R343-R344-R349-R345-R351-R347</f>
        <v/>
      </c>
    </row>
    <row r="353">
      <c r="A353" t="inlineStr">
        <is>
          <t>Discount factor</t>
        </is>
      </c>
      <c r="C353">
        <f>1/(1+discount_rate)^C329</f>
        <v/>
      </c>
      <c r="D353">
        <f>1/(1+discount_rate)^D329</f>
        <v/>
      </c>
      <c r="E353">
        <f>1/(1+discount_rate)^E329</f>
        <v/>
      </c>
      <c r="F353">
        <f>1/(1+discount_rate)^F329</f>
        <v/>
      </c>
      <c r="G353">
        <f>1/(1+discount_rate)^G329</f>
        <v/>
      </c>
      <c r="H353">
        <f>1/(1+discount_rate)^H329</f>
        <v/>
      </c>
      <c r="I353">
        <f>1/(1+discount_rate)^I329</f>
        <v/>
      </c>
      <c r="J353">
        <f>1/(1+discount_rate)^J329</f>
        <v/>
      </c>
      <c r="K353">
        <f>1/(1+discount_rate)^K329</f>
        <v/>
      </c>
      <c r="L353">
        <f>1/(1+discount_rate)^L329</f>
        <v/>
      </c>
      <c r="M353">
        <f>1/(1+discount_rate)^M329</f>
        <v/>
      </c>
      <c r="N353">
        <f>1/(1+discount_rate)^N329</f>
        <v/>
      </c>
      <c r="O353">
        <f>1/(1+discount_rate)^O329</f>
        <v/>
      </c>
      <c r="P353">
        <f>1/(1+discount_rate)^P329</f>
        <v/>
      </c>
      <c r="Q353">
        <f>1/(1+discount_rate)^Q329</f>
        <v/>
      </c>
      <c r="R353">
        <f>1/(1+discount_rate)^R329</f>
        <v/>
      </c>
    </row>
    <row r="354">
      <c r="A354" t="inlineStr">
        <is>
          <t>Present value</t>
        </is>
      </c>
      <c r="C354">
        <f>C352*C353</f>
        <v/>
      </c>
      <c r="D354">
        <f>D352*D353</f>
        <v/>
      </c>
      <c r="E354">
        <f>E352*E353</f>
        <v/>
      </c>
      <c r="F354">
        <f>F352*F353</f>
        <v/>
      </c>
      <c r="G354">
        <f>G352*G353</f>
        <v/>
      </c>
      <c r="H354">
        <f>H352*H353</f>
        <v/>
      </c>
      <c r="I354">
        <f>I352*I353</f>
        <v/>
      </c>
      <c r="J354">
        <f>J352*J353</f>
        <v/>
      </c>
      <c r="K354">
        <f>K352*K353</f>
        <v/>
      </c>
      <c r="L354">
        <f>L352*L353</f>
        <v/>
      </c>
      <c r="M354">
        <f>M352*M353</f>
        <v/>
      </c>
      <c r="N354">
        <f>N352*N353</f>
        <v/>
      </c>
      <c r="O354">
        <f>O352*O353</f>
        <v/>
      </c>
      <c r="P354">
        <f>P352*P353</f>
        <v/>
      </c>
      <c r="Q354">
        <f>Q352*Q353</f>
        <v/>
      </c>
      <c r="R354">
        <f>R352*R353</f>
        <v/>
      </c>
    </row>
    <row r="355">
      <c r="A355" t="inlineStr">
        <is>
          <t>Cumulative cash flow</t>
        </is>
      </c>
      <c r="C355">
        <f>C352</f>
        <v/>
      </c>
      <c r="D355">
        <f>C355+D352</f>
        <v/>
      </c>
      <c r="E355">
        <f>D355+E352</f>
        <v/>
      </c>
      <c r="F355">
        <f>E355+F352</f>
        <v/>
      </c>
      <c r="G355">
        <f>F355+G352</f>
        <v/>
      </c>
      <c r="H355">
        <f>G355+H352</f>
        <v/>
      </c>
      <c r="I355">
        <f>H355+I352</f>
        <v/>
      </c>
      <c r="J355">
        <f>I355+J352</f>
        <v/>
      </c>
      <c r="K355">
        <f>J355+K352</f>
        <v/>
      </c>
      <c r="L355">
        <f>K355+L352</f>
        <v/>
      </c>
      <c r="M355">
        <f>L355+M352</f>
        <v/>
      </c>
      <c r="N355">
        <f>M355+N352</f>
        <v/>
      </c>
      <c r="O355">
        <f>N355+O352</f>
        <v/>
      </c>
      <c r="P355">
        <f>O355+P352</f>
        <v/>
      </c>
      <c r="Q355">
        <f>P355+Q352</f>
        <v/>
      </c>
      <c r="R355">
        <f>Q355+R352</f>
        <v/>
      </c>
    </row>
    <row r="356">
      <c r="A356" t="inlineStr">
        <is>
          <t>Payback helper (months)</t>
        </is>
      </c>
      <c r="C356">
        <f>0</f>
        <v/>
      </c>
      <c r="D356">
        <f>IF(AND(C355&lt;0,D355&gt;=0),(D329-1+(-C355)/D352)*12,0)</f>
        <v/>
      </c>
      <c r="E356">
        <f>IF(AND(D355&lt;0,E355&gt;=0),(E329-1+(-D355)/E352)*12,0)</f>
        <v/>
      </c>
      <c r="F356">
        <f>IF(AND(E355&lt;0,F355&gt;=0),(F329-1+(-E355)/F352)*12,0)</f>
        <v/>
      </c>
      <c r="G356">
        <f>IF(AND(F355&lt;0,G355&gt;=0),(G329-1+(-F355)/G352)*12,0)</f>
        <v/>
      </c>
      <c r="H356">
        <f>IF(AND(G355&lt;0,H355&gt;=0),(H329-1+(-G355)/H352)*12,0)</f>
        <v/>
      </c>
      <c r="I356">
        <f>IF(AND(H355&lt;0,I355&gt;=0),(I329-1+(-H355)/I352)*12,0)</f>
        <v/>
      </c>
      <c r="J356">
        <f>IF(AND(I355&lt;0,J355&gt;=0),(J329-1+(-I355)/J352)*12,0)</f>
        <v/>
      </c>
      <c r="K356">
        <f>IF(AND(J355&lt;0,K355&gt;=0),(K329-1+(-J355)/K352)*12,0)</f>
        <v/>
      </c>
      <c r="L356">
        <f>IF(AND(K355&lt;0,L355&gt;=0),(L329-1+(-K355)/L352)*12,0)</f>
        <v/>
      </c>
      <c r="M356">
        <f>IF(AND(L355&lt;0,M355&gt;=0),(M329-1+(-L355)/M352)*12,0)</f>
        <v/>
      </c>
      <c r="N356">
        <f>IF(AND(M355&lt;0,N355&gt;=0),(N329-1+(-M355)/N352)*12,0)</f>
        <v/>
      </c>
      <c r="O356">
        <f>IF(AND(N355&lt;0,O355&gt;=0),(O329-1+(-N355)/O352)*12,0)</f>
        <v/>
      </c>
      <c r="P356">
        <f>IF(AND(O355&lt;0,P355&gt;=0),(P329-1+(-O355)/P352)*12,0)</f>
        <v/>
      </c>
      <c r="Q356">
        <f>IF(AND(P355&lt;0,Q355&gt;=0),(Q329-1+(-P355)/Q352)*12,0)</f>
        <v/>
      </c>
      <c r="R356">
        <f>IF(AND(Q355&lt;0,R355&gt;=0),(R329-1+(-Q355)/R352)*12,0)</f>
        <v/>
      </c>
    </row>
    <row r="358">
      <c r="A358" s="10" t="inlineStr">
        <is>
          <t>npv</t>
        </is>
      </c>
      <c r="B358" s="8">
        <f>SUM($C$354:$R$354)</f>
        <v/>
      </c>
    </row>
    <row r="359">
      <c r="A359" s="10" t="inlineStr">
        <is>
          <t>irr</t>
        </is>
      </c>
      <c r="B359" s="6">
        <f>IRR($C$352:$R$352)</f>
        <v/>
      </c>
    </row>
    <row r="360">
      <c r="A360" s="10" t="inlineStr">
        <is>
          <t>payback_months</t>
        </is>
      </c>
      <c r="B360" s="9">
        <f>IF(SUM($C$356:$R$356)=0,"n/a",SUM($C$356:$R$356))</f>
        <v/>
      </c>
    </row>
    <row r="363">
      <c r="A363" s="10" t="inlineStr">
        <is>
          <t>Tornado: product_gross_margin high (+20%)</t>
        </is>
      </c>
    </row>
    <row r="364">
      <c r="A364" t="inlineStr">
        <is>
          <t>param: density</t>
        </is>
      </c>
      <c r="B364">
        <f>mature_sales_density</f>
        <v/>
      </c>
    </row>
    <row r="365">
      <c r="A365" t="inlineStr">
        <is>
          <t>param: gm</t>
        </is>
      </c>
      <c r="B365">
        <f>product_gross_margin*1.2</f>
        <v/>
      </c>
    </row>
    <row r="366">
      <c r="A366" t="inlineStr">
        <is>
          <t>param: rent</t>
        </is>
      </c>
      <c r="B366">
        <f>rent_per_year</f>
        <v/>
      </c>
    </row>
    <row r="367">
      <c r="A367" t="inlineStr">
        <is>
          <t>param: capex</t>
        </is>
      </c>
      <c r="B367">
        <f>fitout_capex</f>
        <v/>
      </c>
    </row>
    <row r="368">
      <c r="A368" t="inlineStr">
        <is>
          <t>param: ramp1</t>
        </is>
      </c>
      <c r="B368">
        <f>ramp_year1</f>
        <v/>
      </c>
    </row>
    <row r="369">
      <c r="A369" t="inlineStr">
        <is>
          <t>param: ramp2</t>
        </is>
      </c>
      <c r="B369">
        <f>ramp_year2</f>
        <v/>
      </c>
    </row>
    <row r="370">
      <c r="A370" t="inlineStr">
        <is>
          <t>param: rent_mult</t>
        </is>
      </c>
      <c r="B370" t="n">
        <v>1</v>
      </c>
    </row>
    <row r="371">
      <c r="A371" t="inlineStr">
        <is>
          <t>param: payroll_mult</t>
        </is>
      </c>
      <c r="B371" t="n">
        <v>1</v>
      </c>
    </row>
    <row r="372">
      <c r="A372" t="inlineStr">
        <is>
          <t>param: ramp_mult</t>
        </is>
      </c>
      <c r="B372" t="n">
        <v>1</v>
      </c>
    </row>
    <row r="374">
      <c r="A374" t="inlineStr">
        <is>
          <t>Year</t>
        </is>
      </c>
      <c r="C374" t="n">
        <v>0</v>
      </c>
      <c r="D374" t="n">
        <v>1</v>
      </c>
      <c r="E374" t="n">
        <v>2</v>
      </c>
      <c r="F374" t="n">
        <v>3</v>
      </c>
      <c r="G374" t="n">
        <v>4</v>
      </c>
      <c r="H374" t="n">
        <v>5</v>
      </c>
      <c r="I374" t="n">
        <v>6</v>
      </c>
      <c r="J374" t="n">
        <v>7</v>
      </c>
      <c r="K374" t="n">
        <v>8</v>
      </c>
      <c r="L374" t="n">
        <v>9</v>
      </c>
      <c r="M374" t="n">
        <v>10</v>
      </c>
      <c r="N374" t="n">
        <v>11</v>
      </c>
      <c r="O374" t="n">
        <v>12</v>
      </c>
      <c r="P374" t="n">
        <v>13</v>
      </c>
      <c r="Q374" t="n">
        <v>14</v>
      </c>
      <c r="R374" t="n">
        <v>15</v>
      </c>
    </row>
    <row r="375">
      <c r="A375" t="inlineStr">
        <is>
          <t>Trading year flag</t>
        </is>
      </c>
      <c r="C375">
        <f>IF(AND(C374&gt;=1,C374&lt;=lease_term_years),1,0)</f>
        <v/>
      </c>
      <c r="D375">
        <f>IF(AND(D374&gt;=1,D374&lt;=lease_term_years),1,0)</f>
        <v/>
      </c>
      <c r="E375">
        <f>IF(AND(E374&gt;=1,E374&lt;=lease_term_years),1,0)</f>
        <v/>
      </c>
      <c r="F375">
        <f>IF(AND(F374&gt;=1,F374&lt;=lease_term_years),1,0)</f>
        <v/>
      </c>
      <c r="G375">
        <f>IF(AND(G374&gt;=1,G374&lt;=lease_term_years),1,0)</f>
        <v/>
      </c>
      <c r="H375">
        <f>IF(AND(H374&gt;=1,H374&lt;=lease_term_years),1,0)</f>
        <v/>
      </c>
      <c r="I375">
        <f>IF(AND(I374&gt;=1,I374&lt;=lease_term_years),1,0)</f>
        <v/>
      </c>
      <c r="J375">
        <f>IF(AND(J374&gt;=1,J374&lt;=lease_term_years),1,0)</f>
        <v/>
      </c>
      <c r="K375">
        <f>IF(AND(K374&gt;=1,K374&lt;=lease_term_years),1,0)</f>
        <v/>
      </c>
      <c r="L375">
        <f>IF(AND(L374&gt;=1,L374&lt;=lease_term_years),1,0)</f>
        <v/>
      </c>
      <c r="M375">
        <f>IF(AND(M374&gt;=1,M374&lt;=lease_term_years),1,0)</f>
        <v/>
      </c>
      <c r="N375">
        <f>IF(AND(N374&gt;=1,N374&lt;=lease_term_years),1,0)</f>
        <v/>
      </c>
      <c r="O375">
        <f>IF(AND(O374&gt;=1,O374&lt;=lease_term_years),1,0)</f>
        <v/>
      </c>
      <c r="P375">
        <f>IF(AND(P374&gt;=1,P374&lt;=lease_term_years),1,0)</f>
        <v/>
      </c>
      <c r="Q375">
        <f>IF(AND(Q374&gt;=1,Q374&lt;=lease_term_years),1,0)</f>
        <v/>
      </c>
      <c r="R375">
        <f>IF(AND(R374&gt;=1,R374&lt;=lease_term_years),1,0)</f>
        <v/>
      </c>
    </row>
    <row r="376">
      <c r="A376" t="inlineStr">
        <is>
          <t>Ramp-up (share of mature volume)</t>
        </is>
      </c>
      <c r="C376">
        <f>IF(C374=1,1-(1-$B$368)*$B$372,IF(C374=2,1-(1-$B$369)*$B$372,1))*C375</f>
        <v/>
      </c>
      <c r="D376">
        <f>IF(D374=1,1-(1-$B$368)*$B$372,IF(D374=2,1-(1-$B$369)*$B$372,1))*D375</f>
        <v/>
      </c>
      <c r="E376">
        <f>IF(E374=1,1-(1-$B$368)*$B$372,IF(E374=2,1-(1-$B$369)*$B$372,1))*E375</f>
        <v/>
      </c>
      <c r="F376">
        <f>IF(F374=1,1-(1-$B$368)*$B$372,IF(F374=2,1-(1-$B$369)*$B$372,1))*F375</f>
        <v/>
      </c>
      <c r="G376">
        <f>IF(G374=1,1-(1-$B$368)*$B$372,IF(G374=2,1-(1-$B$369)*$B$372,1))*G375</f>
        <v/>
      </c>
      <c r="H376">
        <f>IF(H374=1,1-(1-$B$368)*$B$372,IF(H374=2,1-(1-$B$369)*$B$372,1))*H375</f>
        <v/>
      </c>
      <c r="I376">
        <f>IF(I374=1,1-(1-$B$368)*$B$372,IF(I374=2,1-(1-$B$369)*$B$372,1))*I375</f>
        <v/>
      </c>
      <c r="J376">
        <f>IF(J374=1,1-(1-$B$368)*$B$372,IF(J374=2,1-(1-$B$369)*$B$372,1))*J375</f>
        <v/>
      </c>
      <c r="K376">
        <f>IF(K374=1,1-(1-$B$368)*$B$372,IF(K374=2,1-(1-$B$369)*$B$372,1))*K375</f>
        <v/>
      </c>
      <c r="L376">
        <f>IF(L374=1,1-(1-$B$368)*$B$372,IF(L374=2,1-(1-$B$369)*$B$372,1))*L375</f>
        <v/>
      </c>
      <c r="M376">
        <f>IF(M374=1,1-(1-$B$368)*$B$372,IF(M374=2,1-(1-$B$369)*$B$372,1))*M375</f>
        <v/>
      </c>
      <c r="N376">
        <f>IF(N374=1,1-(1-$B$368)*$B$372,IF(N374=2,1-(1-$B$369)*$B$372,1))*N375</f>
        <v/>
      </c>
      <c r="O376">
        <f>IF(O374=1,1-(1-$B$368)*$B$372,IF(O374=2,1-(1-$B$369)*$B$372,1))*O375</f>
        <v/>
      </c>
      <c r="P376">
        <f>IF(P374=1,1-(1-$B$368)*$B$372,IF(P374=2,1-(1-$B$369)*$B$372,1))*P375</f>
        <v/>
      </c>
      <c r="Q376">
        <f>IF(Q374=1,1-(1-$B$368)*$B$372,IF(Q374=2,1-(1-$B$369)*$B$372,1))*Q375</f>
        <v/>
      </c>
      <c r="R376">
        <f>IF(R374=1,1-(1-$B$368)*$B$372,IF(R374=2,1-(1-$B$369)*$B$372,1))*R375</f>
        <v/>
      </c>
    </row>
    <row r="377">
      <c r="A377" t="inlineStr">
        <is>
          <t>Sales volume (year-1 prices)</t>
        </is>
      </c>
      <c r="C377">
        <f>area_sqft*$B$364*C376</f>
        <v/>
      </c>
      <c r="D377">
        <f>area_sqft*$B$364*D376</f>
        <v/>
      </c>
      <c r="E377">
        <f>area_sqft*$B$364*E376</f>
        <v/>
      </c>
      <c r="F377">
        <f>area_sqft*$B$364*F376</f>
        <v/>
      </c>
      <c r="G377">
        <f>area_sqft*$B$364*G376</f>
        <v/>
      </c>
      <c r="H377">
        <f>area_sqft*$B$364*H376</f>
        <v/>
      </c>
      <c r="I377">
        <f>area_sqft*$B$364*I376</f>
        <v/>
      </c>
      <c r="J377">
        <f>area_sqft*$B$364*J376</f>
        <v/>
      </c>
      <c r="K377">
        <f>area_sqft*$B$364*K376</f>
        <v/>
      </c>
      <c r="L377">
        <f>area_sqft*$B$364*L376</f>
        <v/>
      </c>
      <c r="M377">
        <f>area_sqft*$B$364*M376</f>
        <v/>
      </c>
      <c r="N377">
        <f>area_sqft*$B$364*N376</f>
        <v/>
      </c>
      <c r="O377">
        <f>area_sqft*$B$364*O376</f>
        <v/>
      </c>
      <c r="P377">
        <f>area_sqft*$B$364*P376</f>
        <v/>
      </c>
      <c r="Q377">
        <f>area_sqft*$B$364*Q376</f>
        <v/>
      </c>
      <c r="R377">
        <f>area_sqft*$B$364*R376</f>
        <v/>
      </c>
    </row>
    <row r="378">
      <c r="A378" t="inlineStr">
        <is>
          <t>Sales growth index</t>
        </is>
      </c>
      <c r="C378">
        <f>IF(C375=1,(1+sales_growth)^(C374-1),0)</f>
        <v/>
      </c>
      <c r="D378">
        <f>IF(D375=1,(1+sales_growth)^(D374-1),0)</f>
        <v/>
      </c>
      <c r="E378">
        <f>IF(E375=1,(1+sales_growth)^(E374-1),0)</f>
        <v/>
      </c>
      <c r="F378">
        <f>IF(F375=1,(1+sales_growth)^(F374-1),0)</f>
        <v/>
      </c>
      <c r="G378">
        <f>IF(G375=1,(1+sales_growth)^(G374-1),0)</f>
        <v/>
      </c>
      <c r="H378">
        <f>IF(H375=1,(1+sales_growth)^(H374-1),0)</f>
        <v/>
      </c>
      <c r="I378">
        <f>IF(I375=1,(1+sales_growth)^(I374-1),0)</f>
        <v/>
      </c>
      <c r="J378">
        <f>IF(J375=1,(1+sales_growth)^(J374-1),0)</f>
        <v/>
      </c>
      <c r="K378">
        <f>IF(K375=1,(1+sales_growth)^(K374-1),0)</f>
        <v/>
      </c>
      <c r="L378">
        <f>IF(L375=1,(1+sales_growth)^(L374-1),0)</f>
        <v/>
      </c>
      <c r="M378">
        <f>IF(M375=1,(1+sales_growth)^(M374-1),0)</f>
        <v/>
      </c>
      <c r="N378">
        <f>IF(N375=1,(1+sales_growth)^(N374-1),0)</f>
        <v/>
      </c>
      <c r="O378">
        <f>IF(O375=1,(1+sales_growth)^(O374-1),0)</f>
        <v/>
      </c>
      <c r="P378">
        <f>IF(P375=1,(1+sales_growth)^(P374-1),0)</f>
        <v/>
      </c>
      <c r="Q378">
        <f>IF(Q375=1,(1+sales_growth)^(Q374-1),0)</f>
        <v/>
      </c>
      <c r="R378">
        <f>IF(R375=1,(1+sales_growth)^(R374-1),0)</f>
        <v/>
      </c>
    </row>
    <row r="379">
      <c r="A379" t="inlineStr">
        <is>
          <t>Sales</t>
        </is>
      </c>
      <c r="C379">
        <f>C377*C378</f>
        <v/>
      </c>
      <c r="D379">
        <f>D377*D378</f>
        <v/>
      </c>
      <c r="E379">
        <f>E377*E378</f>
        <v/>
      </c>
      <c r="F379">
        <f>F377*F378</f>
        <v/>
      </c>
      <c r="G379">
        <f>G377*G378</f>
        <v/>
      </c>
      <c r="H379">
        <f>H377*H378</f>
        <v/>
      </c>
      <c r="I379">
        <f>I377*I378</f>
        <v/>
      </c>
      <c r="J379">
        <f>J377*J378</f>
        <v/>
      </c>
      <c r="K379">
        <f>K377*K378</f>
        <v/>
      </c>
      <c r="L379">
        <f>L377*L378</f>
        <v/>
      </c>
      <c r="M379">
        <f>M377*M378</f>
        <v/>
      </c>
      <c r="N379">
        <f>N377*N378</f>
        <v/>
      </c>
      <c r="O379">
        <f>O377*O378</f>
        <v/>
      </c>
      <c r="P379">
        <f>P377*P378</f>
        <v/>
      </c>
      <c r="Q379">
        <f>Q377*Q378</f>
        <v/>
      </c>
      <c r="R379">
        <f>R377*R378</f>
        <v/>
      </c>
    </row>
    <row r="380">
      <c r="A380" t="inlineStr">
        <is>
          <t>Gross margin</t>
        </is>
      </c>
      <c r="C380">
        <f>C379*$B$365</f>
        <v/>
      </c>
      <c r="D380">
        <f>D379*$B$365</f>
        <v/>
      </c>
      <c r="E380">
        <f>E379*$B$365</f>
        <v/>
      </c>
      <c r="F380">
        <f>F379*$B$365</f>
        <v/>
      </c>
      <c r="G380">
        <f>G379*$B$365</f>
        <v/>
      </c>
      <c r="H380">
        <f>H379*$B$365</f>
        <v/>
      </c>
      <c r="I380">
        <f>I379*$B$365</f>
        <v/>
      </c>
      <c r="J380">
        <f>J379*$B$365</f>
        <v/>
      </c>
      <c r="K380">
        <f>K379*$B$365</f>
        <v/>
      </c>
      <c r="L380">
        <f>L379*$B$365</f>
        <v/>
      </c>
      <c r="M380">
        <f>M379*$B$365</f>
        <v/>
      </c>
      <c r="N380">
        <f>N379*$B$365</f>
        <v/>
      </c>
      <c r="O380">
        <f>O379*$B$365</f>
        <v/>
      </c>
      <c r="P380">
        <f>P379*$B$365</f>
        <v/>
      </c>
      <c r="Q380">
        <f>Q379*$B$365</f>
        <v/>
      </c>
      <c r="R380">
        <f>R379*$B$365</f>
        <v/>
      </c>
    </row>
    <row r="381">
      <c r="A381" t="inlineStr">
        <is>
          <t>Wage index</t>
        </is>
      </c>
      <c r="C381">
        <f>IF(C375=1,(1+wage_inflation)^(C374-1),0)</f>
        <v/>
      </c>
      <c r="D381">
        <f>IF(D375=1,(1+wage_inflation)^(D374-1),0)</f>
        <v/>
      </c>
      <c r="E381">
        <f>IF(E375=1,(1+wage_inflation)^(E374-1),0)</f>
        <v/>
      </c>
      <c r="F381">
        <f>IF(F375=1,(1+wage_inflation)^(F374-1),0)</f>
        <v/>
      </c>
      <c r="G381">
        <f>IF(G375=1,(1+wage_inflation)^(G374-1),0)</f>
        <v/>
      </c>
      <c r="H381">
        <f>IF(H375=1,(1+wage_inflation)^(H374-1),0)</f>
        <v/>
      </c>
      <c r="I381">
        <f>IF(I375=1,(1+wage_inflation)^(I374-1),0)</f>
        <v/>
      </c>
      <c r="J381">
        <f>IF(J375=1,(1+wage_inflation)^(J374-1),0)</f>
        <v/>
      </c>
      <c r="K381">
        <f>IF(K375=1,(1+wage_inflation)^(K374-1),0)</f>
        <v/>
      </c>
      <c r="L381">
        <f>IF(L375=1,(1+wage_inflation)^(L374-1),0)</f>
        <v/>
      </c>
      <c r="M381">
        <f>IF(M375=1,(1+wage_inflation)^(M374-1),0)</f>
        <v/>
      </c>
      <c r="N381">
        <f>IF(N375=1,(1+wage_inflation)^(N374-1),0)</f>
        <v/>
      </c>
      <c r="O381">
        <f>IF(O375=1,(1+wage_inflation)^(O374-1),0)</f>
        <v/>
      </c>
      <c r="P381">
        <f>IF(P375=1,(1+wage_inflation)^(P374-1),0)</f>
        <v/>
      </c>
      <c r="Q381">
        <f>IF(Q375=1,(1+wage_inflation)^(Q374-1),0)</f>
        <v/>
      </c>
      <c r="R381">
        <f>IF(R375=1,(1+wage_inflation)^(R374-1),0)</f>
        <v/>
      </c>
    </row>
    <row r="382">
      <c r="A382" t="inlineStr">
        <is>
          <t>Payroll</t>
        </is>
      </c>
      <c r="C382">
        <f>(fixed_payroll*C375+variable_cost_per_k*C377/1000)*C381*$B$371</f>
        <v/>
      </c>
      <c r="D382">
        <f>(fixed_payroll*D375+variable_cost_per_k*D377/1000)*D381*$B$371</f>
        <v/>
      </c>
      <c r="E382">
        <f>(fixed_payroll*E375+variable_cost_per_k*E377/1000)*E381*$B$371</f>
        <v/>
      </c>
      <c r="F382">
        <f>(fixed_payroll*F375+variable_cost_per_k*F377/1000)*F381*$B$371</f>
        <v/>
      </c>
      <c r="G382">
        <f>(fixed_payroll*G375+variable_cost_per_k*G377/1000)*G381*$B$371</f>
        <v/>
      </c>
      <c r="H382">
        <f>(fixed_payroll*H375+variable_cost_per_k*H377/1000)*H381*$B$371</f>
        <v/>
      </c>
      <c r="I382">
        <f>(fixed_payroll*I375+variable_cost_per_k*I377/1000)*I381*$B$371</f>
        <v/>
      </c>
      <c r="J382">
        <f>(fixed_payroll*J375+variable_cost_per_k*J377/1000)*J381*$B$371</f>
        <v/>
      </c>
      <c r="K382">
        <f>(fixed_payroll*K375+variable_cost_per_k*K377/1000)*K381*$B$371</f>
        <v/>
      </c>
      <c r="L382">
        <f>(fixed_payroll*L375+variable_cost_per_k*L377/1000)*L381*$B$371</f>
        <v/>
      </c>
      <c r="M382">
        <f>(fixed_payroll*M375+variable_cost_per_k*M377/1000)*M381*$B$371</f>
        <v/>
      </c>
      <c r="N382">
        <f>(fixed_payroll*N375+variable_cost_per_k*N377/1000)*N381*$B$371</f>
        <v/>
      </c>
      <c r="O382">
        <f>(fixed_payroll*O375+variable_cost_per_k*O377/1000)*O381*$B$371</f>
        <v/>
      </c>
      <c r="P382">
        <f>(fixed_payroll*P375+variable_cost_per_k*P377/1000)*P381*$B$371</f>
        <v/>
      </c>
      <c r="Q382">
        <f>(fixed_payroll*Q375+variable_cost_per_k*Q377/1000)*Q381*$B$371</f>
        <v/>
      </c>
      <c r="R382">
        <f>(fixed_payroll*R375+variable_cost_per_k*R377/1000)*R381*$B$371</f>
        <v/>
      </c>
    </row>
    <row r="383">
      <c r="A383" t="inlineStr">
        <is>
          <t>Rent</t>
        </is>
      </c>
      <c r="C383">
        <f>$B$366*(1+IF(C374&gt;=6,rent_review_uplift,0))*C375*$B$370</f>
        <v/>
      </c>
      <c r="D383">
        <f>$B$366*(1+IF(D374&gt;=6,rent_review_uplift,0))*D375*$B$370</f>
        <v/>
      </c>
      <c r="E383">
        <f>$B$366*(1+IF(E374&gt;=6,rent_review_uplift,0))*E375*$B$370</f>
        <v/>
      </c>
      <c r="F383">
        <f>$B$366*(1+IF(F374&gt;=6,rent_review_uplift,0))*F375*$B$370</f>
        <v/>
      </c>
      <c r="G383">
        <f>$B$366*(1+IF(G374&gt;=6,rent_review_uplift,0))*G375*$B$370</f>
        <v/>
      </c>
      <c r="H383">
        <f>$B$366*(1+IF(H374&gt;=6,rent_review_uplift,0))*H375*$B$370</f>
        <v/>
      </c>
      <c r="I383">
        <f>$B$366*(1+IF(I374&gt;=6,rent_review_uplift,0))*I375*$B$370</f>
        <v/>
      </c>
      <c r="J383">
        <f>$B$366*(1+IF(J374&gt;=6,rent_review_uplift,0))*J375*$B$370</f>
        <v/>
      </c>
      <c r="K383">
        <f>$B$366*(1+IF(K374&gt;=6,rent_review_uplift,0))*K375*$B$370</f>
        <v/>
      </c>
      <c r="L383">
        <f>$B$366*(1+IF(L374&gt;=6,rent_review_uplift,0))*L375*$B$370</f>
        <v/>
      </c>
      <c r="M383">
        <f>$B$366*(1+IF(M374&gt;=6,rent_review_uplift,0))*M375*$B$370</f>
        <v/>
      </c>
      <c r="N383">
        <f>$B$366*(1+IF(N374&gt;=6,rent_review_uplift,0))*N375*$B$370</f>
        <v/>
      </c>
      <c r="O383">
        <f>$B$366*(1+IF(O374&gt;=6,rent_review_uplift,0))*O375*$B$370</f>
        <v/>
      </c>
      <c r="P383">
        <f>$B$366*(1+IF(P374&gt;=6,rent_review_uplift,0))*P375*$B$370</f>
        <v/>
      </c>
      <c r="Q383">
        <f>$B$366*(1+IF(Q374&gt;=6,rent_review_uplift,0))*Q375*$B$370</f>
        <v/>
      </c>
      <c r="R383">
        <f>$B$366*(1+IF(R374&gt;=6,rent_review_uplift,0))*R375*$B$370</f>
        <v/>
      </c>
    </row>
    <row r="384">
      <c r="A384" t="inlineStr">
        <is>
          <t>Cost index</t>
        </is>
      </c>
      <c r="C384">
        <f>IF(C375=1,(1+cost_inflation)^(C374-1),0)</f>
        <v/>
      </c>
      <c r="D384">
        <f>IF(D375=1,(1+cost_inflation)^(D374-1),0)</f>
        <v/>
      </c>
      <c r="E384">
        <f>IF(E375=1,(1+cost_inflation)^(E374-1),0)</f>
        <v/>
      </c>
      <c r="F384">
        <f>IF(F375=1,(1+cost_inflation)^(F374-1),0)</f>
        <v/>
      </c>
      <c r="G384">
        <f>IF(G375=1,(1+cost_inflation)^(G374-1),0)</f>
        <v/>
      </c>
      <c r="H384">
        <f>IF(H375=1,(1+cost_inflation)^(H374-1),0)</f>
        <v/>
      </c>
      <c r="I384">
        <f>IF(I375=1,(1+cost_inflation)^(I374-1),0)</f>
        <v/>
      </c>
      <c r="J384">
        <f>IF(J375=1,(1+cost_inflation)^(J374-1),0)</f>
        <v/>
      </c>
      <c r="K384">
        <f>IF(K375=1,(1+cost_inflation)^(K374-1),0)</f>
        <v/>
      </c>
      <c r="L384">
        <f>IF(L375=1,(1+cost_inflation)^(L374-1),0)</f>
        <v/>
      </c>
      <c r="M384">
        <f>IF(M375=1,(1+cost_inflation)^(M374-1),0)</f>
        <v/>
      </c>
      <c r="N384">
        <f>IF(N375=1,(1+cost_inflation)^(N374-1),0)</f>
        <v/>
      </c>
      <c r="O384">
        <f>IF(O375=1,(1+cost_inflation)^(O374-1),0)</f>
        <v/>
      </c>
      <c r="P384">
        <f>IF(P375=1,(1+cost_inflation)^(P374-1),0)</f>
        <v/>
      </c>
      <c r="Q384">
        <f>IF(Q375=1,(1+cost_inflation)^(Q374-1),0)</f>
        <v/>
      </c>
      <c r="R384">
        <f>IF(R375=1,(1+cost_inflation)^(R374-1),0)</f>
        <v/>
      </c>
    </row>
    <row r="385">
      <c r="A385" t="inlineStr">
        <is>
          <t>Business rates</t>
        </is>
      </c>
      <c r="C385">
        <f>rateable_value*IF(rateable_value&lt;51000,rates_multiplier_rhl_small,IF(rateable_value&lt;500000,rates_multiplier_rhl_standard,rates_multiplier_high_value))*C384</f>
        <v/>
      </c>
      <c r="D385">
        <f>rateable_value*IF(rateable_value&lt;51000,rates_multiplier_rhl_small,IF(rateable_value&lt;500000,rates_multiplier_rhl_standard,rates_multiplier_high_value))*D384</f>
        <v/>
      </c>
      <c r="E385">
        <f>rateable_value*IF(rateable_value&lt;51000,rates_multiplier_rhl_small,IF(rateable_value&lt;500000,rates_multiplier_rhl_standard,rates_multiplier_high_value))*E384</f>
        <v/>
      </c>
      <c r="F385">
        <f>rateable_value*IF(rateable_value&lt;51000,rates_multiplier_rhl_small,IF(rateable_value&lt;500000,rates_multiplier_rhl_standard,rates_multiplier_high_value))*F384</f>
        <v/>
      </c>
      <c r="G385">
        <f>rateable_value*IF(rateable_value&lt;51000,rates_multiplier_rhl_small,IF(rateable_value&lt;500000,rates_multiplier_rhl_standard,rates_multiplier_high_value))*G384</f>
        <v/>
      </c>
      <c r="H385">
        <f>rateable_value*IF(rateable_value&lt;51000,rates_multiplier_rhl_small,IF(rateable_value&lt;500000,rates_multiplier_rhl_standard,rates_multiplier_high_value))*H384</f>
        <v/>
      </c>
      <c r="I385">
        <f>rateable_value*IF(rateable_value&lt;51000,rates_multiplier_rhl_small,IF(rateable_value&lt;500000,rates_multiplier_rhl_standard,rates_multiplier_high_value))*I384</f>
        <v/>
      </c>
      <c r="J385">
        <f>rateable_value*IF(rateable_value&lt;51000,rates_multiplier_rhl_small,IF(rateable_value&lt;500000,rates_multiplier_rhl_standard,rates_multiplier_high_value))*J384</f>
        <v/>
      </c>
      <c r="K385">
        <f>rateable_value*IF(rateable_value&lt;51000,rates_multiplier_rhl_small,IF(rateable_value&lt;500000,rates_multiplier_rhl_standard,rates_multiplier_high_value))*K384</f>
        <v/>
      </c>
      <c r="L385">
        <f>rateable_value*IF(rateable_value&lt;51000,rates_multiplier_rhl_small,IF(rateable_value&lt;500000,rates_multiplier_rhl_standard,rates_multiplier_high_value))*L384</f>
        <v/>
      </c>
      <c r="M385">
        <f>rateable_value*IF(rateable_value&lt;51000,rates_multiplier_rhl_small,IF(rateable_value&lt;500000,rates_multiplier_rhl_standard,rates_multiplier_high_value))*M384</f>
        <v/>
      </c>
      <c r="N385">
        <f>rateable_value*IF(rateable_value&lt;51000,rates_multiplier_rhl_small,IF(rateable_value&lt;500000,rates_multiplier_rhl_standard,rates_multiplier_high_value))*N384</f>
        <v/>
      </c>
      <c r="O385">
        <f>rateable_value*IF(rateable_value&lt;51000,rates_multiplier_rhl_small,IF(rateable_value&lt;500000,rates_multiplier_rhl_standard,rates_multiplier_high_value))*O384</f>
        <v/>
      </c>
      <c r="P385">
        <f>rateable_value*IF(rateable_value&lt;51000,rates_multiplier_rhl_small,IF(rateable_value&lt;500000,rates_multiplier_rhl_standard,rates_multiplier_high_value))*P384</f>
        <v/>
      </c>
      <c r="Q385">
        <f>rateable_value*IF(rateable_value&lt;51000,rates_multiplier_rhl_small,IF(rateable_value&lt;500000,rates_multiplier_rhl_standard,rates_multiplier_high_value))*Q384</f>
        <v/>
      </c>
      <c r="R385">
        <f>rateable_value*IF(rateable_value&lt;51000,rates_multiplier_rhl_small,IF(rateable_value&lt;500000,rates_multiplier_rhl_standard,rates_multiplier_high_value))*R384</f>
        <v/>
      </c>
    </row>
    <row r="386">
      <c r="A386" t="inlineStr">
        <is>
          <t>Service charge, utilities, insurance</t>
        </is>
      </c>
      <c r="C386">
        <f>occupancy_other_psf*area_sqft*C384</f>
        <v/>
      </c>
      <c r="D386">
        <f>occupancy_other_psf*area_sqft*D384</f>
        <v/>
      </c>
      <c r="E386">
        <f>occupancy_other_psf*area_sqft*E384</f>
        <v/>
      </c>
      <c r="F386">
        <f>occupancy_other_psf*area_sqft*F384</f>
        <v/>
      </c>
      <c r="G386">
        <f>occupancy_other_psf*area_sqft*G384</f>
        <v/>
      </c>
      <c r="H386">
        <f>occupancy_other_psf*area_sqft*H384</f>
        <v/>
      </c>
      <c r="I386">
        <f>occupancy_other_psf*area_sqft*I384</f>
        <v/>
      </c>
      <c r="J386">
        <f>occupancy_other_psf*area_sqft*J384</f>
        <v/>
      </c>
      <c r="K386">
        <f>occupancy_other_psf*area_sqft*K384</f>
        <v/>
      </c>
      <c r="L386">
        <f>occupancy_other_psf*area_sqft*L384</f>
        <v/>
      </c>
      <c r="M386">
        <f>occupancy_other_psf*area_sqft*M384</f>
        <v/>
      </c>
      <c r="N386">
        <f>occupancy_other_psf*area_sqft*N384</f>
        <v/>
      </c>
      <c r="O386">
        <f>occupancy_other_psf*area_sqft*O384</f>
        <v/>
      </c>
      <c r="P386">
        <f>occupancy_other_psf*area_sqft*P384</f>
        <v/>
      </c>
      <c r="Q386">
        <f>occupancy_other_psf*area_sqft*Q384</f>
        <v/>
      </c>
      <c r="R386">
        <f>occupancy_other_psf*area_sqft*R384</f>
        <v/>
      </c>
    </row>
    <row r="387">
      <c r="A387" t="inlineStr">
        <is>
          <t>Other store opex</t>
        </is>
      </c>
      <c r="C387">
        <f>C379*other_opex_pct_sales</f>
        <v/>
      </c>
      <c r="D387">
        <f>D379*other_opex_pct_sales</f>
        <v/>
      </c>
      <c r="E387">
        <f>E379*other_opex_pct_sales</f>
        <v/>
      </c>
      <c r="F387">
        <f>F379*other_opex_pct_sales</f>
        <v/>
      </c>
      <c r="G387">
        <f>G379*other_opex_pct_sales</f>
        <v/>
      </c>
      <c r="H387">
        <f>H379*other_opex_pct_sales</f>
        <v/>
      </c>
      <c r="I387">
        <f>I379*other_opex_pct_sales</f>
        <v/>
      </c>
      <c r="J387">
        <f>J379*other_opex_pct_sales</f>
        <v/>
      </c>
      <c r="K387">
        <f>K379*other_opex_pct_sales</f>
        <v/>
      </c>
      <c r="L387">
        <f>L379*other_opex_pct_sales</f>
        <v/>
      </c>
      <c r="M387">
        <f>M379*other_opex_pct_sales</f>
        <v/>
      </c>
      <c r="N387">
        <f>N379*other_opex_pct_sales</f>
        <v/>
      </c>
      <c r="O387">
        <f>O379*other_opex_pct_sales</f>
        <v/>
      </c>
      <c r="P387">
        <f>P379*other_opex_pct_sales</f>
        <v/>
      </c>
      <c r="Q387">
        <f>Q379*other_opex_pct_sales</f>
        <v/>
      </c>
      <c r="R387">
        <f>R379*other_opex_pct_sales</f>
        <v/>
      </c>
    </row>
    <row r="388">
      <c r="A388" t="inlineStr">
        <is>
          <t>Store EBITDA (4-wall)</t>
        </is>
      </c>
      <c r="C388">
        <f>C380-C382-C383-C385-C386-C387</f>
        <v/>
      </c>
      <c r="D388">
        <f>D380-D382-D383-D385-D386-D387</f>
        <v/>
      </c>
      <c r="E388">
        <f>E380-E382-E383-E385-E386-E387</f>
        <v/>
      </c>
      <c r="F388">
        <f>F380-F382-F383-F385-F386-F387</f>
        <v/>
      </c>
      <c r="G388">
        <f>G380-G382-G383-G385-G386-G387</f>
        <v/>
      </c>
      <c r="H388">
        <f>H380-H382-H383-H385-H386-H387</f>
        <v/>
      </c>
      <c r="I388">
        <f>I380-I382-I383-I385-I386-I387</f>
        <v/>
      </c>
      <c r="J388">
        <f>J380-J382-J383-J385-J386-J387</f>
        <v/>
      </c>
      <c r="K388">
        <f>K380-K382-K383-K385-K386-K387</f>
        <v/>
      </c>
      <c r="L388">
        <f>L380-L382-L383-L385-L386-L387</f>
        <v/>
      </c>
      <c r="M388">
        <f>M380-M382-M383-M385-M386-M387</f>
        <v/>
      </c>
      <c r="N388">
        <f>N380-N382-N383-N385-N386-N387</f>
        <v/>
      </c>
      <c r="O388">
        <f>O380-O382-O383-O385-O386-O387</f>
        <v/>
      </c>
      <c r="P388">
        <f>P380-P382-P383-P385-P386-P387</f>
        <v/>
      </c>
      <c r="Q388">
        <f>Q380-Q382-Q383-Q385-Q386-Q387</f>
        <v/>
      </c>
      <c r="R388">
        <f>R380-R382-R383-R385-R386-R387</f>
        <v/>
      </c>
    </row>
    <row r="389">
      <c r="A389" t="inlineStr">
        <is>
          <t>Pre-opening costs</t>
        </is>
      </c>
      <c r="C389">
        <f>IF(C374=0,pre_opening_costs,0)</f>
        <v/>
      </c>
      <c r="D389">
        <f>IF(D374=0,pre_opening_costs,0)</f>
        <v/>
      </c>
      <c r="E389">
        <f>IF(E374=0,pre_opening_costs,0)</f>
        <v/>
      </c>
      <c r="F389">
        <f>IF(F374=0,pre_opening_costs,0)</f>
        <v/>
      </c>
      <c r="G389">
        <f>IF(G374=0,pre_opening_costs,0)</f>
        <v/>
      </c>
      <c r="H389">
        <f>IF(H374=0,pre_opening_costs,0)</f>
        <v/>
      </c>
      <c r="I389">
        <f>IF(I374=0,pre_opening_costs,0)</f>
        <v/>
      </c>
      <c r="J389">
        <f>IF(J374=0,pre_opening_costs,0)</f>
        <v/>
      </c>
      <c r="K389">
        <f>IF(K374=0,pre_opening_costs,0)</f>
        <v/>
      </c>
      <c r="L389">
        <f>IF(L374=0,pre_opening_costs,0)</f>
        <v/>
      </c>
      <c r="M389">
        <f>IF(M374=0,pre_opening_costs,0)</f>
        <v/>
      </c>
      <c r="N389">
        <f>IF(N374=0,pre_opening_costs,0)</f>
        <v/>
      </c>
      <c r="O389">
        <f>IF(O374=0,pre_opening_costs,0)</f>
        <v/>
      </c>
      <c r="P389">
        <f>IF(P374=0,pre_opening_costs,0)</f>
        <v/>
      </c>
      <c r="Q389">
        <f>IF(Q374=0,pre_opening_costs,0)</f>
        <v/>
      </c>
      <c r="R389">
        <f>IF(R374=0,pre_opening_costs,0)</f>
        <v/>
      </c>
    </row>
    <row r="390">
      <c r="A390" t="inlineStr">
        <is>
          <t>Fit-out capex</t>
        </is>
      </c>
      <c r="C390">
        <f>IF(C374=0,$B$367,0)</f>
        <v/>
      </c>
      <c r="D390">
        <f>IF(D374=0,$B$367,0)</f>
        <v/>
      </c>
      <c r="E390">
        <f>IF(E374=0,$B$367,0)</f>
        <v/>
      </c>
      <c r="F390">
        <f>IF(F374=0,$B$367,0)</f>
        <v/>
      </c>
      <c r="G390">
        <f>IF(G374=0,$B$367,0)</f>
        <v/>
      </c>
      <c r="H390">
        <f>IF(H374=0,$B$367,0)</f>
        <v/>
      </c>
      <c r="I390">
        <f>IF(I374=0,$B$367,0)</f>
        <v/>
      </c>
      <c r="J390">
        <f>IF(J374=0,$B$367,0)</f>
        <v/>
      </c>
      <c r="K390">
        <f>IF(K374=0,$B$367,0)</f>
        <v/>
      </c>
      <c r="L390">
        <f>IF(L374=0,$B$367,0)</f>
        <v/>
      </c>
      <c r="M390">
        <f>IF(M374=0,$B$367,0)</f>
        <v/>
      </c>
      <c r="N390">
        <f>IF(N374=0,$B$367,0)</f>
        <v/>
      </c>
      <c r="O390">
        <f>IF(O374=0,$B$367,0)</f>
        <v/>
      </c>
      <c r="P390">
        <f>IF(P374=0,$B$367,0)</f>
        <v/>
      </c>
      <c r="Q390">
        <f>IF(Q374=0,$B$367,0)</f>
        <v/>
      </c>
      <c r="R390">
        <f>IF(R374=0,$B$367,0)</f>
        <v/>
      </c>
    </row>
    <row r="391">
      <c r="A391" t="inlineStr">
        <is>
          <t>Tax depreciation</t>
        </is>
      </c>
      <c r="C391">
        <f>IF(AND(C374&gt;=1,C374&lt;=tax_depreciation_years,C374&lt;=lease_term_years),$B$367/tax_depreciation_years,0)</f>
        <v/>
      </c>
      <c r="D391">
        <f>IF(AND(D374&gt;=1,D374&lt;=tax_depreciation_years,D374&lt;=lease_term_years),$B$367/tax_depreciation_years,0)</f>
        <v/>
      </c>
      <c r="E391">
        <f>IF(AND(E374&gt;=1,E374&lt;=tax_depreciation_years,E374&lt;=lease_term_years),$B$367/tax_depreciation_years,0)</f>
        <v/>
      </c>
      <c r="F391">
        <f>IF(AND(F374&gt;=1,F374&lt;=tax_depreciation_years,F374&lt;=lease_term_years),$B$367/tax_depreciation_years,0)</f>
        <v/>
      </c>
      <c r="G391">
        <f>IF(AND(G374&gt;=1,G374&lt;=tax_depreciation_years,G374&lt;=lease_term_years),$B$367/tax_depreciation_years,0)</f>
        <v/>
      </c>
      <c r="H391">
        <f>IF(AND(H374&gt;=1,H374&lt;=tax_depreciation_years,H374&lt;=lease_term_years),$B$367/tax_depreciation_years,0)</f>
        <v/>
      </c>
      <c r="I391">
        <f>IF(AND(I374&gt;=1,I374&lt;=tax_depreciation_years,I374&lt;=lease_term_years),$B$367/tax_depreciation_years,0)</f>
        <v/>
      </c>
      <c r="J391">
        <f>IF(AND(J374&gt;=1,J374&lt;=tax_depreciation_years,J374&lt;=lease_term_years),$B$367/tax_depreciation_years,0)</f>
        <v/>
      </c>
      <c r="K391">
        <f>IF(AND(K374&gt;=1,K374&lt;=tax_depreciation_years,K374&lt;=lease_term_years),$B$367/tax_depreciation_years,0)</f>
        <v/>
      </c>
      <c r="L391">
        <f>IF(AND(L374&gt;=1,L374&lt;=tax_depreciation_years,L374&lt;=lease_term_years),$B$367/tax_depreciation_years,0)</f>
        <v/>
      </c>
      <c r="M391">
        <f>IF(AND(M374&gt;=1,M374&lt;=tax_depreciation_years,M374&lt;=lease_term_years),$B$367/tax_depreciation_years,0)</f>
        <v/>
      </c>
      <c r="N391">
        <f>IF(AND(N374&gt;=1,N374&lt;=tax_depreciation_years,N374&lt;=lease_term_years),$B$367/tax_depreciation_years,0)</f>
        <v/>
      </c>
      <c r="O391">
        <f>IF(AND(O374&gt;=1,O374&lt;=tax_depreciation_years,O374&lt;=lease_term_years),$B$367/tax_depreciation_years,0)</f>
        <v/>
      </c>
      <c r="P391">
        <f>IF(AND(P374&gt;=1,P374&lt;=tax_depreciation_years,P374&lt;=lease_term_years),$B$367/tax_depreciation_years,0)</f>
        <v/>
      </c>
      <c r="Q391">
        <f>IF(AND(Q374&gt;=1,Q374&lt;=tax_depreciation_years,Q374&lt;=lease_term_years),$B$367/tax_depreciation_years,0)</f>
        <v/>
      </c>
      <c r="R391">
        <f>IF(AND(R374&gt;=1,R374&lt;=tax_depreciation_years,R374&lt;=lease_term_years),$B$367/tax_depreciation_years,0)</f>
        <v/>
      </c>
    </row>
    <row r="392">
      <c r="A392" t="inlineStr">
        <is>
          <t>Dilapidations</t>
        </is>
      </c>
      <c r="C392">
        <f>IF(C374=lease_term_years,dilapidations_at_exit,0)</f>
        <v/>
      </c>
      <c r="D392">
        <f>IF(D374=lease_term_years,dilapidations_at_exit,0)</f>
        <v/>
      </c>
      <c r="E392">
        <f>IF(E374=lease_term_years,dilapidations_at_exit,0)</f>
        <v/>
      </c>
      <c r="F392">
        <f>IF(F374=lease_term_years,dilapidations_at_exit,0)</f>
        <v/>
      </c>
      <c r="G392">
        <f>IF(G374=lease_term_years,dilapidations_at_exit,0)</f>
        <v/>
      </c>
      <c r="H392">
        <f>IF(H374=lease_term_years,dilapidations_at_exit,0)</f>
        <v/>
      </c>
      <c r="I392">
        <f>IF(I374=lease_term_years,dilapidations_at_exit,0)</f>
        <v/>
      </c>
      <c r="J392">
        <f>IF(J374=lease_term_years,dilapidations_at_exit,0)</f>
        <v/>
      </c>
      <c r="K392">
        <f>IF(K374=lease_term_years,dilapidations_at_exit,0)</f>
        <v/>
      </c>
      <c r="L392">
        <f>IF(L374=lease_term_years,dilapidations_at_exit,0)</f>
        <v/>
      </c>
      <c r="M392">
        <f>IF(M374=lease_term_years,dilapidations_at_exit,0)</f>
        <v/>
      </c>
      <c r="N392">
        <f>IF(N374=lease_term_years,dilapidations_at_exit,0)</f>
        <v/>
      </c>
      <c r="O392">
        <f>IF(O374=lease_term_years,dilapidations_at_exit,0)</f>
        <v/>
      </c>
      <c r="P392">
        <f>IF(P374=lease_term_years,dilapidations_at_exit,0)</f>
        <v/>
      </c>
      <c r="Q392">
        <f>IF(Q374=lease_term_years,dilapidations_at_exit,0)</f>
        <v/>
      </c>
      <c r="R392">
        <f>IF(R374=lease_term_years,dilapidations_at_exit,0)</f>
        <v/>
      </c>
    </row>
    <row r="393">
      <c r="A393" t="inlineStr">
        <is>
          <t>Taxable profit</t>
        </is>
      </c>
      <c r="C393">
        <f>C388-C389-C391-C392</f>
        <v/>
      </c>
      <c r="D393">
        <f>D388-D389-D391-D392</f>
        <v/>
      </c>
      <c r="E393">
        <f>E388-E389-E391-E392</f>
        <v/>
      </c>
      <c r="F393">
        <f>F388-F389-F391-F392</f>
        <v/>
      </c>
      <c r="G393">
        <f>G388-G389-G391-G392</f>
        <v/>
      </c>
      <c r="H393">
        <f>H388-H389-H391-H392</f>
        <v/>
      </c>
      <c r="I393">
        <f>I388-I389-I391-I392</f>
        <v/>
      </c>
      <c r="J393">
        <f>J388-J389-J391-J392</f>
        <v/>
      </c>
      <c r="K393">
        <f>K388-K389-K391-K392</f>
        <v/>
      </c>
      <c r="L393">
        <f>L388-L389-L391-L392</f>
        <v/>
      </c>
      <c r="M393">
        <f>M388-M389-M391-M392</f>
        <v/>
      </c>
      <c r="N393">
        <f>N388-N389-N391-N392</f>
        <v/>
      </c>
      <c r="O393">
        <f>O388-O389-O391-O392</f>
        <v/>
      </c>
      <c r="P393">
        <f>P388-P389-P391-P392</f>
        <v/>
      </c>
      <c r="Q393">
        <f>Q388-Q389-Q391-Q392</f>
        <v/>
      </c>
      <c r="R393">
        <f>R388-R389-R391-R392</f>
        <v/>
      </c>
    </row>
    <row r="394">
      <c r="A394" t="inlineStr">
        <is>
          <t>Tax (negative = group relief)</t>
        </is>
      </c>
      <c r="C394">
        <f>C393*tax_rate</f>
        <v/>
      </c>
      <c r="D394">
        <f>D393*tax_rate</f>
        <v/>
      </c>
      <c r="E394">
        <f>E393*tax_rate</f>
        <v/>
      </c>
      <c r="F394">
        <f>F393*tax_rate</f>
        <v/>
      </c>
      <c r="G394">
        <f>G393*tax_rate</f>
        <v/>
      </c>
      <c r="H394">
        <f>H393*tax_rate</f>
        <v/>
      </c>
      <c r="I394">
        <f>I393*tax_rate</f>
        <v/>
      </c>
      <c r="J394">
        <f>J393*tax_rate</f>
        <v/>
      </c>
      <c r="K394">
        <f>K393*tax_rate</f>
        <v/>
      </c>
      <c r="L394">
        <f>L393*tax_rate</f>
        <v/>
      </c>
      <c r="M394">
        <f>M393*tax_rate</f>
        <v/>
      </c>
      <c r="N394">
        <f>N393*tax_rate</f>
        <v/>
      </c>
      <c r="O394">
        <f>O393*tax_rate</f>
        <v/>
      </c>
      <c r="P394">
        <f>P393*tax_rate</f>
        <v/>
      </c>
      <c r="Q394">
        <f>Q393*tax_rate</f>
        <v/>
      </c>
      <c r="R394">
        <f>R393*tax_rate</f>
        <v/>
      </c>
    </row>
    <row r="395">
      <c r="A395" t="inlineStr">
        <is>
          <t>Stock held</t>
        </is>
      </c>
      <c r="C395">
        <f>IF(C374&lt;lease_term_years,stock_pct_sales*D379,0)</f>
        <v/>
      </c>
      <c r="D395">
        <f>IF(D374&lt;lease_term_years,stock_pct_sales*E379,0)</f>
        <v/>
      </c>
      <c r="E395">
        <f>IF(E374&lt;lease_term_years,stock_pct_sales*F379,0)</f>
        <v/>
      </c>
      <c r="F395">
        <f>IF(F374&lt;lease_term_years,stock_pct_sales*G379,0)</f>
        <v/>
      </c>
      <c r="G395">
        <f>IF(G374&lt;lease_term_years,stock_pct_sales*H379,0)</f>
        <v/>
      </c>
      <c r="H395">
        <f>IF(H374&lt;lease_term_years,stock_pct_sales*I379,0)</f>
        <v/>
      </c>
      <c r="I395">
        <f>IF(I374&lt;lease_term_years,stock_pct_sales*J379,0)</f>
        <v/>
      </c>
      <c r="J395">
        <f>IF(J374&lt;lease_term_years,stock_pct_sales*K379,0)</f>
        <v/>
      </c>
      <c r="K395">
        <f>IF(K374&lt;lease_term_years,stock_pct_sales*L379,0)</f>
        <v/>
      </c>
      <c r="L395">
        <f>IF(L374&lt;lease_term_years,stock_pct_sales*M379,0)</f>
        <v/>
      </c>
      <c r="M395">
        <f>IF(M374&lt;lease_term_years,stock_pct_sales*N379,0)</f>
        <v/>
      </c>
      <c r="N395">
        <f>IF(N374&lt;lease_term_years,stock_pct_sales*O379,0)</f>
        <v/>
      </c>
      <c r="O395">
        <f>IF(O374&lt;lease_term_years,stock_pct_sales*P379,0)</f>
        <v/>
      </c>
      <c r="P395">
        <f>IF(P374&lt;lease_term_years,stock_pct_sales*Q379,0)</f>
        <v/>
      </c>
      <c r="Q395">
        <f>IF(Q374&lt;lease_term_years,stock_pct_sales*R379,0)</f>
        <v/>
      </c>
      <c r="R395">
        <f>0</f>
        <v/>
      </c>
    </row>
    <row r="396">
      <c r="A396" t="inlineStr">
        <is>
          <t>Change in stock</t>
        </is>
      </c>
      <c r="C396">
        <f>C395</f>
        <v/>
      </c>
      <c r="D396">
        <f>D395-C395</f>
        <v/>
      </c>
      <c r="E396">
        <f>E395-D395</f>
        <v/>
      </c>
      <c r="F396">
        <f>F395-E395</f>
        <v/>
      </c>
      <c r="G396">
        <f>G395-F395</f>
        <v/>
      </c>
      <c r="H396">
        <f>H395-G395</f>
        <v/>
      </c>
      <c r="I396">
        <f>I395-H395</f>
        <v/>
      </c>
      <c r="J396">
        <f>J395-I395</f>
        <v/>
      </c>
      <c r="K396">
        <f>K395-J395</f>
        <v/>
      </c>
      <c r="L396">
        <f>L395-K395</f>
        <v/>
      </c>
      <c r="M396">
        <f>M395-L395</f>
        <v/>
      </c>
      <c r="N396">
        <f>N395-M395</f>
        <v/>
      </c>
      <c r="O396">
        <f>O395-N395</f>
        <v/>
      </c>
      <c r="P396">
        <f>P395-O395</f>
        <v/>
      </c>
      <c r="Q396">
        <f>Q395-P395</f>
        <v/>
      </c>
      <c r="R396">
        <f>R395-Q395</f>
        <v/>
      </c>
    </row>
    <row r="397">
      <c r="A397" t="inlineStr">
        <is>
          <t>Free cash flow</t>
        </is>
      </c>
      <c r="C397">
        <f>C388-C389-C394-C390-C396-C392</f>
        <v/>
      </c>
      <c r="D397">
        <f>D388-D389-D394-D390-D396-D392</f>
        <v/>
      </c>
      <c r="E397">
        <f>E388-E389-E394-E390-E396-E392</f>
        <v/>
      </c>
      <c r="F397">
        <f>F388-F389-F394-F390-F396-F392</f>
        <v/>
      </c>
      <c r="G397">
        <f>G388-G389-G394-G390-G396-G392</f>
        <v/>
      </c>
      <c r="H397">
        <f>H388-H389-H394-H390-H396-H392</f>
        <v/>
      </c>
      <c r="I397">
        <f>I388-I389-I394-I390-I396-I392</f>
        <v/>
      </c>
      <c r="J397">
        <f>J388-J389-J394-J390-J396-J392</f>
        <v/>
      </c>
      <c r="K397">
        <f>K388-K389-K394-K390-K396-K392</f>
        <v/>
      </c>
      <c r="L397">
        <f>L388-L389-L394-L390-L396-L392</f>
        <v/>
      </c>
      <c r="M397">
        <f>M388-M389-M394-M390-M396-M392</f>
        <v/>
      </c>
      <c r="N397">
        <f>N388-N389-N394-N390-N396-N392</f>
        <v/>
      </c>
      <c r="O397">
        <f>O388-O389-O394-O390-O396-O392</f>
        <v/>
      </c>
      <c r="P397">
        <f>P388-P389-P394-P390-P396-P392</f>
        <v/>
      </c>
      <c r="Q397">
        <f>Q388-Q389-Q394-Q390-Q396-Q392</f>
        <v/>
      </c>
      <c r="R397">
        <f>R388-R389-R394-R390-R396-R392</f>
        <v/>
      </c>
    </row>
    <row r="398">
      <c r="A398" t="inlineStr">
        <is>
          <t>Discount factor</t>
        </is>
      </c>
      <c r="C398">
        <f>1/(1+discount_rate)^C374</f>
        <v/>
      </c>
      <c r="D398">
        <f>1/(1+discount_rate)^D374</f>
        <v/>
      </c>
      <c r="E398">
        <f>1/(1+discount_rate)^E374</f>
        <v/>
      </c>
      <c r="F398">
        <f>1/(1+discount_rate)^F374</f>
        <v/>
      </c>
      <c r="G398">
        <f>1/(1+discount_rate)^G374</f>
        <v/>
      </c>
      <c r="H398">
        <f>1/(1+discount_rate)^H374</f>
        <v/>
      </c>
      <c r="I398">
        <f>1/(1+discount_rate)^I374</f>
        <v/>
      </c>
      <c r="J398">
        <f>1/(1+discount_rate)^J374</f>
        <v/>
      </c>
      <c r="K398">
        <f>1/(1+discount_rate)^K374</f>
        <v/>
      </c>
      <c r="L398">
        <f>1/(1+discount_rate)^L374</f>
        <v/>
      </c>
      <c r="M398">
        <f>1/(1+discount_rate)^M374</f>
        <v/>
      </c>
      <c r="N398">
        <f>1/(1+discount_rate)^N374</f>
        <v/>
      </c>
      <c r="O398">
        <f>1/(1+discount_rate)^O374</f>
        <v/>
      </c>
      <c r="P398">
        <f>1/(1+discount_rate)^P374</f>
        <v/>
      </c>
      <c r="Q398">
        <f>1/(1+discount_rate)^Q374</f>
        <v/>
      </c>
      <c r="R398">
        <f>1/(1+discount_rate)^R374</f>
        <v/>
      </c>
    </row>
    <row r="399">
      <c r="A399" t="inlineStr">
        <is>
          <t>Present value</t>
        </is>
      </c>
      <c r="C399">
        <f>C397*C398</f>
        <v/>
      </c>
      <c r="D399">
        <f>D397*D398</f>
        <v/>
      </c>
      <c r="E399">
        <f>E397*E398</f>
        <v/>
      </c>
      <c r="F399">
        <f>F397*F398</f>
        <v/>
      </c>
      <c r="G399">
        <f>G397*G398</f>
        <v/>
      </c>
      <c r="H399">
        <f>H397*H398</f>
        <v/>
      </c>
      <c r="I399">
        <f>I397*I398</f>
        <v/>
      </c>
      <c r="J399">
        <f>J397*J398</f>
        <v/>
      </c>
      <c r="K399">
        <f>K397*K398</f>
        <v/>
      </c>
      <c r="L399">
        <f>L397*L398</f>
        <v/>
      </c>
      <c r="M399">
        <f>M397*M398</f>
        <v/>
      </c>
      <c r="N399">
        <f>N397*N398</f>
        <v/>
      </c>
      <c r="O399">
        <f>O397*O398</f>
        <v/>
      </c>
      <c r="P399">
        <f>P397*P398</f>
        <v/>
      </c>
      <c r="Q399">
        <f>Q397*Q398</f>
        <v/>
      </c>
      <c r="R399">
        <f>R397*R398</f>
        <v/>
      </c>
    </row>
    <row r="400">
      <c r="A400" t="inlineStr">
        <is>
          <t>Cumulative cash flow</t>
        </is>
      </c>
      <c r="C400">
        <f>C397</f>
        <v/>
      </c>
      <c r="D400">
        <f>C400+D397</f>
        <v/>
      </c>
      <c r="E400">
        <f>D400+E397</f>
        <v/>
      </c>
      <c r="F400">
        <f>E400+F397</f>
        <v/>
      </c>
      <c r="G400">
        <f>F400+G397</f>
        <v/>
      </c>
      <c r="H400">
        <f>G400+H397</f>
        <v/>
      </c>
      <c r="I400">
        <f>H400+I397</f>
        <v/>
      </c>
      <c r="J400">
        <f>I400+J397</f>
        <v/>
      </c>
      <c r="K400">
        <f>J400+K397</f>
        <v/>
      </c>
      <c r="L400">
        <f>K400+L397</f>
        <v/>
      </c>
      <c r="M400">
        <f>L400+M397</f>
        <v/>
      </c>
      <c r="N400">
        <f>M400+N397</f>
        <v/>
      </c>
      <c r="O400">
        <f>N400+O397</f>
        <v/>
      </c>
      <c r="P400">
        <f>O400+P397</f>
        <v/>
      </c>
      <c r="Q400">
        <f>P400+Q397</f>
        <v/>
      </c>
      <c r="R400">
        <f>Q400+R397</f>
        <v/>
      </c>
    </row>
    <row r="401">
      <c r="A401" t="inlineStr">
        <is>
          <t>Payback helper (months)</t>
        </is>
      </c>
      <c r="C401">
        <f>0</f>
        <v/>
      </c>
      <c r="D401">
        <f>IF(AND(C400&lt;0,D400&gt;=0),(D374-1+(-C400)/D397)*12,0)</f>
        <v/>
      </c>
      <c r="E401">
        <f>IF(AND(D400&lt;0,E400&gt;=0),(E374-1+(-D400)/E397)*12,0)</f>
        <v/>
      </c>
      <c r="F401">
        <f>IF(AND(E400&lt;0,F400&gt;=0),(F374-1+(-E400)/F397)*12,0)</f>
        <v/>
      </c>
      <c r="G401">
        <f>IF(AND(F400&lt;0,G400&gt;=0),(G374-1+(-F400)/G397)*12,0)</f>
        <v/>
      </c>
      <c r="H401">
        <f>IF(AND(G400&lt;0,H400&gt;=0),(H374-1+(-G400)/H397)*12,0)</f>
        <v/>
      </c>
      <c r="I401">
        <f>IF(AND(H400&lt;0,I400&gt;=0),(I374-1+(-H400)/I397)*12,0)</f>
        <v/>
      </c>
      <c r="J401">
        <f>IF(AND(I400&lt;0,J400&gt;=0),(J374-1+(-I400)/J397)*12,0)</f>
        <v/>
      </c>
      <c r="K401">
        <f>IF(AND(J400&lt;0,K400&gt;=0),(K374-1+(-J400)/K397)*12,0)</f>
        <v/>
      </c>
      <c r="L401">
        <f>IF(AND(K400&lt;0,L400&gt;=0),(L374-1+(-K400)/L397)*12,0)</f>
        <v/>
      </c>
      <c r="M401">
        <f>IF(AND(L400&lt;0,M400&gt;=0),(M374-1+(-L400)/M397)*12,0)</f>
        <v/>
      </c>
      <c r="N401">
        <f>IF(AND(M400&lt;0,N400&gt;=0),(N374-1+(-M400)/N397)*12,0)</f>
        <v/>
      </c>
      <c r="O401">
        <f>IF(AND(N400&lt;0,O400&gt;=0),(O374-1+(-N400)/O397)*12,0)</f>
        <v/>
      </c>
      <c r="P401">
        <f>IF(AND(O400&lt;0,P400&gt;=0),(P374-1+(-O400)/P397)*12,0)</f>
        <v/>
      </c>
      <c r="Q401">
        <f>IF(AND(P400&lt;0,Q400&gt;=0),(Q374-1+(-P400)/Q397)*12,0)</f>
        <v/>
      </c>
      <c r="R401">
        <f>IF(AND(Q400&lt;0,R400&gt;=0),(R374-1+(-Q400)/R397)*12,0)</f>
        <v/>
      </c>
    </row>
    <row r="403">
      <c r="A403" s="10" t="inlineStr">
        <is>
          <t>npv</t>
        </is>
      </c>
      <c r="B403" s="8">
        <f>SUM($C$399:$R$399)</f>
        <v/>
      </c>
    </row>
    <row r="404">
      <c r="A404" s="10" t="inlineStr">
        <is>
          <t>irr</t>
        </is>
      </c>
      <c r="B404" s="6">
        <f>IRR($C$397:$R$397)</f>
        <v/>
      </c>
    </row>
    <row r="405">
      <c r="A405" s="10" t="inlineStr">
        <is>
          <t>payback_months</t>
        </is>
      </c>
      <c r="B405" s="9">
        <f>IF(SUM($C$401:$R$401)=0,"n/a",SUM($C$401:$R$401))</f>
        <v/>
      </c>
    </row>
    <row r="408">
      <c r="A408" s="10" t="inlineStr">
        <is>
          <t>Tornado: rent_per_year low (-20%)</t>
        </is>
      </c>
    </row>
    <row r="409">
      <c r="A409" t="inlineStr">
        <is>
          <t>param: density</t>
        </is>
      </c>
      <c r="B409">
        <f>mature_sales_density</f>
        <v/>
      </c>
    </row>
    <row r="410">
      <c r="A410" t="inlineStr">
        <is>
          <t>param: gm</t>
        </is>
      </c>
      <c r="B410">
        <f>product_gross_margin</f>
        <v/>
      </c>
    </row>
    <row r="411">
      <c r="A411" t="inlineStr">
        <is>
          <t>param: rent</t>
        </is>
      </c>
      <c r="B411">
        <f>rent_per_year</f>
        <v/>
      </c>
    </row>
    <row r="412">
      <c r="A412" t="inlineStr">
        <is>
          <t>param: capex</t>
        </is>
      </c>
      <c r="B412">
        <f>fitout_capex</f>
        <v/>
      </c>
    </row>
    <row r="413">
      <c r="A413" t="inlineStr">
        <is>
          <t>param: ramp1</t>
        </is>
      </c>
      <c r="B413">
        <f>ramp_year1</f>
        <v/>
      </c>
    </row>
    <row r="414">
      <c r="A414" t="inlineStr">
        <is>
          <t>param: ramp2</t>
        </is>
      </c>
      <c r="B414">
        <f>ramp_year2</f>
        <v/>
      </c>
    </row>
    <row r="415">
      <c r="A415" t="inlineStr">
        <is>
          <t>param: rent_mult</t>
        </is>
      </c>
      <c r="B415" t="n">
        <v>0.8</v>
      </c>
    </row>
    <row r="416">
      <c r="A416" t="inlineStr">
        <is>
          <t>param: payroll_mult</t>
        </is>
      </c>
      <c r="B416" t="n">
        <v>1</v>
      </c>
    </row>
    <row r="417">
      <c r="A417" t="inlineStr">
        <is>
          <t>param: ramp_mult</t>
        </is>
      </c>
      <c r="B417" t="n">
        <v>1</v>
      </c>
    </row>
    <row r="419">
      <c r="A419" t="inlineStr">
        <is>
          <t>Year</t>
        </is>
      </c>
      <c r="C419" t="n">
        <v>0</v>
      </c>
      <c r="D419" t="n">
        <v>1</v>
      </c>
      <c r="E419" t="n">
        <v>2</v>
      </c>
      <c r="F419" t="n">
        <v>3</v>
      </c>
      <c r="G419" t="n">
        <v>4</v>
      </c>
      <c r="H419" t="n">
        <v>5</v>
      </c>
      <c r="I419" t="n">
        <v>6</v>
      </c>
      <c r="J419" t="n">
        <v>7</v>
      </c>
      <c r="K419" t="n">
        <v>8</v>
      </c>
      <c r="L419" t="n">
        <v>9</v>
      </c>
      <c r="M419" t="n">
        <v>10</v>
      </c>
      <c r="N419" t="n">
        <v>11</v>
      </c>
      <c r="O419" t="n">
        <v>12</v>
      </c>
      <c r="P419" t="n">
        <v>13</v>
      </c>
      <c r="Q419" t="n">
        <v>14</v>
      </c>
      <c r="R419" t="n">
        <v>15</v>
      </c>
    </row>
    <row r="420">
      <c r="A420" t="inlineStr">
        <is>
          <t>Trading year flag</t>
        </is>
      </c>
      <c r="C420">
        <f>IF(AND(C419&gt;=1,C419&lt;=lease_term_years),1,0)</f>
        <v/>
      </c>
      <c r="D420">
        <f>IF(AND(D419&gt;=1,D419&lt;=lease_term_years),1,0)</f>
        <v/>
      </c>
      <c r="E420">
        <f>IF(AND(E419&gt;=1,E419&lt;=lease_term_years),1,0)</f>
        <v/>
      </c>
      <c r="F420">
        <f>IF(AND(F419&gt;=1,F419&lt;=lease_term_years),1,0)</f>
        <v/>
      </c>
      <c r="G420">
        <f>IF(AND(G419&gt;=1,G419&lt;=lease_term_years),1,0)</f>
        <v/>
      </c>
      <c r="H420">
        <f>IF(AND(H419&gt;=1,H419&lt;=lease_term_years),1,0)</f>
        <v/>
      </c>
      <c r="I420">
        <f>IF(AND(I419&gt;=1,I419&lt;=lease_term_years),1,0)</f>
        <v/>
      </c>
      <c r="J420">
        <f>IF(AND(J419&gt;=1,J419&lt;=lease_term_years),1,0)</f>
        <v/>
      </c>
      <c r="K420">
        <f>IF(AND(K419&gt;=1,K419&lt;=lease_term_years),1,0)</f>
        <v/>
      </c>
      <c r="L420">
        <f>IF(AND(L419&gt;=1,L419&lt;=lease_term_years),1,0)</f>
        <v/>
      </c>
      <c r="M420">
        <f>IF(AND(M419&gt;=1,M419&lt;=lease_term_years),1,0)</f>
        <v/>
      </c>
      <c r="N420">
        <f>IF(AND(N419&gt;=1,N419&lt;=lease_term_years),1,0)</f>
        <v/>
      </c>
      <c r="O420">
        <f>IF(AND(O419&gt;=1,O419&lt;=lease_term_years),1,0)</f>
        <v/>
      </c>
      <c r="P420">
        <f>IF(AND(P419&gt;=1,P419&lt;=lease_term_years),1,0)</f>
        <v/>
      </c>
      <c r="Q420">
        <f>IF(AND(Q419&gt;=1,Q419&lt;=lease_term_years),1,0)</f>
        <v/>
      </c>
      <c r="R420">
        <f>IF(AND(R419&gt;=1,R419&lt;=lease_term_years),1,0)</f>
        <v/>
      </c>
    </row>
    <row r="421">
      <c r="A421" t="inlineStr">
        <is>
          <t>Ramp-up (share of mature volume)</t>
        </is>
      </c>
      <c r="C421">
        <f>IF(C419=1,1-(1-$B$413)*$B$417,IF(C419=2,1-(1-$B$414)*$B$417,1))*C420</f>
        <v/>
      </c>
      <c r="D421">
        <f>IF(D419=1,1-(1-$B$413)*$B$417,IF(D419=2,1-(1-$B$414)*$B$417,1))*D420</f>
        <v/>
      </c>
      <c r="E421">
        <f>IF(E419=1,1-(1-$B$413)*$B$417,IF(E419=2,1-(1-$B$414)*$B$417,1))*E420</f>
        <v/>
      </c>
      <c r="F421">
        <f>IF(F419=1,1-(1-$B$413)*$B$417,IF(F419=2,1-(1-$B$414)*$B$417,1))*F420</f>
        <v/>
      </c>
      <c r="G421">
        <f>IF(G419=1,1-(1-$B$413)*$B$417,IF(G419=2,1-(1-$B$414)*$B$417,1))*G420</f>
        <v/>
      </c>
      <c r="H421">
        <f>IF(H419=1,1-(1-$B$413)*$B$417,IF(H419=2,1-(1-$B$414)*$B$417,1))*H420</f>
        <v/>
      </c>
      <c r="I421">
        <f>IF(I419=1,1-(1-$B$413)*$B$417,IF(I419=2,1-(1-$B$414)*$B$417,1))*I420</f>
        <v/>
      </c>
      <c r="J421">
        <f>IF(J419=1,1-(1-$B$413)*$B$417,IF(J419=2,1-(1-$B$414)*$B$417,1))*J420</f>
        <v/>
      </c>
      <c r="K421">
        <f>IF(K419=1,1-(1-$B$413)*$B$417,IF(K419=2,1-(1-$B$414)*$B$417,1))*K420</f>
        <v/>
      </c>
      <c r="L421">
        <f>IF(L419=1,1-(1-$B$413)*$B$417,IF(L419=2,1-(1-$B$414)*$B$417,1))*L420</f>
        <v/>
      </c>
      <c r="M421">
        <f>IF(M419=1,1-(1-$B$413)*$B$417,IF(M419=2,1-(1-$B$414)*$B$417,1))*M420</f>
        <v/>
      </c>
      <c r="N421">
        <f>IF(N419=1,1-(1-$B$413)*$B$417,IF(N419=2,1-(1-$B$414)*$B$417,1))*N420</f>
        <v/>
      </c>
      <c r="O421">
        <f>IF(O419=1,1-(1-$B$413)*$B$417,IF(O419=2,1-(1-$B$414)*$B$417,1))*O420</f>
        <v/>
      </c>
      <c r="P421">
        <f>IF(P419=1,1-(1-$B$413)*$B$417,IF(P419=2,1-(1-$B$414)*$B$417,1))*P420</f>
        <v/>
      </c>
      <c r="Q421">
        <f>IF(Q419=1,1-(1-$B$413)*$B$417,IF(Q419=2,1-(1-$B$414)*$B$417,1))*Q420</f>
        <v/>
      </c>
      <c r="R421">
        <f>IF(R419=1,1-(1-$B$413)*$B$417,IF(R419=2,1-(1-$B$414)*$B$417,1))*R420</f>
        <v/>
      </c>
    </row>
    <row r="422">
      <c r="A422" t="inlineStr">
        <is>
          <t>Sales volume (year-1 prices)</t>
        </is>
      </c>
      <c r="C422">
        <f>area_sqft*$B$409*C421</f>
        <v/>
      </c>
      <c r="D422">
        <f>area_sqft*$B$409*D421</f>
        <v/>
      </c>
      <c r="E422">
        <f>area_sqft*$B$409*E421</f>
        <v/>
      </c>
      <c r="F422">
        <f>area_sqft*$B$409*F421</f>
        <v/>
      </c>
      <c r="G422">
        <f>area_sqft*$B$409*G421</f>
        <v/>
      </c>
      <c r="H422">
        <f>area_sqft*$B$409*H421</f>
        <v/>
      </c>
      <c r="I422">
        <f>area_sqft*$B$409*I421</f>
        <v/>
      </c>
      <c r="J422">
        <f>area_sqft*$B$409*J421</f>
        <v/>
      </c>
      <c r="K422">
        <f>area_sqft*$B$409*K421</f>
        <v/>
      </c>
      <c r="L422">
        <f>area_sqft*$B$409*L421</f>
        <v/>
      </c>
      <c r="M422">
        <f>area_sqft*$B$409*M421</f>
        <v/>
      </c>
      <c r="N422">
        <f>area_sqft*$B$409*N421</f>
        <v/>
      </c>
      <c r="O422">
        <f>area_sqft*$B$409*O421</f>
        <v/>
      </c>
      <c r="P422">
        <f>area_sqft*$B$409*P421</f>
        <v/>
      </c>
      <c r="Q422">
        <f>area_sqft*$B$409*Q421</f>
        <v/>
      </c>
      <c r="R422">
        <f>area_sqft*$B$409*R421</f>
        <v/>
      </c>
    </row>
    <row r="423">
      <c r="A423" t="inlineStr">
        <is>
          <t>Sales growth index</t>
        </is>
      </c>
      <c r="C423">
        <f>IF(C420=1,(1+sales_growth)^(C419-1),0)</f>
        <v/>
      </c>
      <c r="D423">
        <f>IF(D420=1,(1+sales_growth)^(D419-1),0)</f>
        <v/>
      </c>
      <c r="E423">
        <f>IF(E420=1,(1+sales_growth)^(E419-1),0)</f>
        <v/>
      </c>
      <c r="F423">
        <f>IF(F420=1,(1+sales_growth)^(F419-1),0)</f>
        <v/>
      </c>
      <c r="G423">
        <f>IF(G420=1,(1+sales_growth)^(G419-1),0)</f>
        <v/>
      </c>
      <c r="H423">
        <f>IF(H420=1,(1+sales_growth)^(H419-1),0)</f>
        <v/>
      </c>
      <c r="I423">
        <f>IF(I420=1,(1+sales_growth)^(I419-1),0)</f>
        <v/>
      </c>
      <c r="J423">
        <f>IF(J420=1,(1+sales_growth)^(J419-1),0)</f>
        <v/>
      </c>
      <c r="K423">
        <f>IF(K420=1,(1+sales_growth)^(K419-1),0)</f>
        <v/>
      </c>
      <c r="L423">
        <f>IF(L420=1,(1+sales_growth)^(L419-1),0)</f>
        <v/>
      </c>
      <c r="M423">
        <f>IF(M420=1,(1+sales_growth)^(M419-1),0)</f>
        <v/>
      </c>
      <c r="N423">
        <f>IF(N420=1,(1+sales_growth)^(N419-1),0)</f>
        <v/>
      </c>
      <c r="O423">
        <f>IF(O420=1,(1+sales_growth)^(O419-1),0)</f>
        <v/>
      </c>
      <c r="P423">
        <f>IF(P420=1,(1+sales_growth)^(P419-1),0)</f>
        <v/>
      </c>
      <c r="Q423">
        <f>IF(Q420=1,(1+sales_growth)^(Q419-1),0)</f>
        <v/>
      </c>
      <c r="R423">
        <f>IF(R420=1,(1+sales_growth)^(R419-1),0)</f>
        <v/>
      </c>
    </row>
    <row r="424">
      <c r="A424" t="inlineStr">
        <is>
          <t>Sales</t>
        </is>
      </c>
      <c r="C424">
        <f>C422*C423</f>
        <v/>
      </c>
      <c r="D424">
        <f>D422*D423</f>
        <v/>
      </c>
      <c r="E424">
        <f>E422*E423</f>
        <v/>
      </c>
      <c r="F424">
        <f>F422*F423</f>
        <v/>
      </c>
      <c r="G424">
        <f>G422*G423</f>
        <v/>
      </c>
      <c r="H424">
        <f>H422*H423</f>
        <v/>
      </c>
      <c r="I424">
        <f>I422*I423</f>
        <v/>
      </c>
      <c r="J424">
        <f>J422*J423</f>
        <v/>
      </c>
      <c r="K424">
        <f>K422*K423</f>
        <v/>
      </c>
      <c r="L424">
        <f>L422*L423</f>
        <v/>
      </c>
      <c r="M424">
        <f>M422*M423</f>
        <v/>
      </c>
      <c r="N424">
        <f>N422*N423</f>
        <v/>
      </c>
      <c r="O424">
        <f>O422*O423</f>
        <v/>
      </c>
      <c r="P424">
        <f>P422*P423</f>
        <v/>
      </c>
      <c r="Q424">
        <f>Q422*Q423</f>
        <v/>
      </c>
      <c r="R424">
        <f>R422*R423</f>
        <v/>
      </c>
    </row>
    <row r="425">
      <c r="A425" t="inlineStr">
        <is>
          <t>Gross margin</t>
        </is>
      </c>
      <c r="C425">
        <f>C424*$B$410</f>
        <v/>
      </c>
      <c r="D425">
        <f>D424*$B$410</f>
        <v/>
      </c>
      <c r="E425">
        <f>E424*$B$410</f>
        <v/>
      </c>
      <c r="F425">
        <f>F424*$B$410</f>
        <v/>
      </c>
      <c r="G425">
        <f>G424*$B$410</f>
        <v/>
      </c>
      <c r="H425">
        <f>H424*$B$410</f>
        <v/>
      </c>
      <c r="I425">
        <f>I424*$B$410</f>
        <v/>
      </c>
      <c r="J425">
        <f>J424*$B$410</f>
        <v/>
      </c>
      <c r="K425">
        <f>K424*$B$410</f>
        <v/>
      </c>
      <c r="L425">
        <f>L424*$B$410</f>
        <v/>
      </c>
      <c r="M425">
        <f>M424*$B$410</f>
        <v/>
      </c>
      <c r="N425">
        <f>N424*$B$410</f>
        <v/>
      </c>
      <c r="O425">
        <f>O424*$B$410</f>
        <v/>
      </c>
      <c r="P425">
        <f>P424*$B$410</f>
        <v/>
      </c>
      <c r="Q425">
        <f>Q424*$B$410</f>
        <v/>
      </c>
      <c r="R425">
        <f>R424*$B$410</f>
        <v/>
      </c>
    </row>
    <row r="426">
      <c r="A426" t="inlineStr">
        <is>
          <t>Wage index</t>
        </is>
      </c>
      <c r="C426">
        <f>IF(C420=1,(1+wage_inflation)^(C419-1),0)</f>
        <v/>
      </c>
      <c r="D426">
        <f>IF(D420=1,(1+wage_inflation)^(D419-1),0)</f>
        <v/>
      </c>
      <c r="E426">
        <f>IF(E420=1,(1+wage_inflation)^(E419-1),0)</f>
        <v/>
      </c>
      <c r="F426">
        <f>IF(F420=1,(1+wage_inflation)^(F419-1),0)</f>
        <v/>
      </c>
      <c r="G426">
        <f>IF(G420=1,(1+wage_inflation)^(G419-1),0)</f>
        <v/>
      </c>
      <c r="H426">
        <f>IF(H420=1,(1+wage_inflation)^(H419-1),0)</f>
        <v/>
      </c>
      <c r="I426">
        <f>IF(I420=1,(1+wage_inflation)^(I419-1),0)</f>
        <v/>
      </c>
      <c r="J426">
        <f>IF(J420=1,(1+wage_inflation)^(J419-1),0)</f>
        <v/>
      </c>
      <c r="K426">
        <f>IF(K420=1,(1+wage_inflation)^(K419-1),0)</f>
        <v/>
      </c>
      <c r="L426">
        <f>IF(L420=1,(1+wage_inflation)^(L419-1),0)</f>
        <v/>
      </c>
      <c r="M426">
        <f>IF(M420=1,(1+wage_inflation)^(M419-1),0)</f>
        <v/>
      </c>
      <c r="N426">
        <f>IF(N420=1,(1+wage_inflation)^(N419-1),0)</f>
        <v/>
      </c>
      <c r="O426">
        <f>IF(O420=1,(1+wage_inflation)^(O419-1),0)</f>
        <v/>
      </c>
      <c r="P426">
        <f>IF(P420=1,(1+wage_inflation)^(P419-1),0)</f>
        <v/>
      </c>
      <c r="Q426">
        <f>IF(Q420=1,(1+wage_inflation)^(Q419-1),0)</f>
        <v/>
      </c>
      <c r="R426">
        <f>IF(R420=1,(1+wage_inflation)^(R419-1),0)</f>
        <v/>
      </c>
    </row>
    <row r="427">
      <c r="A427" t="inlineStr">
        <is>
          <t>Payroll</t>
        </is>
      </c>
      <c r="C427">
        <f>(fixed_payroll*C420+variable_cost_per_k*C422/1000)*C426*$B$416</f>
        <v/>
      </c>
      <c r="D427">
        <f>(fixed_payroll*D420+variable_cost_per_k*D422/1000)*D426*$B$416</f>
        <v/>
      </c>
      <c r="E427">
        <f>(fixed_payroll*E420+variable_cost_per_k*E422/1000)*E426*$B$416</f>
        <v/>
      </c>
      <c r="F427">
        <f>(fixed_payroll*F420+variable_cost_per_k*F422/1000)*F426*$B$416</f>
        <v/>
      </c>
      <c r="G427">
        <f>(fixed_payroll*G420+variable_cost_per_k*G422/1000)*G426*$B$416</f>
        <v/>
      </c>
      <c r="H427">
        <f>(fixed_payroll*H420+variable_cost_per_k*H422/1000)*H426*$B$416</f>
        <v/>
      </c>
      <c r="I427">
        <f>(fixed_payroll*I420+variable_cost_per_k*I422/1000)*I426*$B$416</f>
        <v/>
      </c>
      <c r="J427">
        <f>(fixed_payroll*J420+variable_cost_per_k*J422/1000)*J426*$B$416</f>
        <v/>
      </c>
      <c r="K427">
        <f>(fixed_payroll*K420+variable_cost_per_k*K422/1000)*K426*$B$416</f>
        <v/>
      </c>
      <c r="L427">
        <f>(fixed_payroll*L420+variable_cost_per_k*L422/1000)*L426*$B$416</f>
        <v/>
      </c>
      <c r="M427">
        <f>(fixed_payroll*M420+variable_cost_per_k*M422/1000)*M426*$B$416</f>
        <v/>
      </c>
      <c r="N427">
        <f>(fixed_payroll*N420+variable_cost_per_k*N422/1000)*N426*$B$416</f>
        <v/>
      </c>
      <c r="O427">
        <f>(fixed_payroll*O420+variable_cost_per_k*O422/1000)*O426*$B$416</f>
        <v/>
      </c>
      <c r="P427">
        <f>(fixed_payroll*P420+variable_cost_per_k*P422/1000)*P426*$B$416</f>
        <v/>
      </c>
      <c r="Q427">
        <f>(fixed_payroll*Q420+variable_cost_per_k*Q422/1000)*Q426*$B$416</f>
        <v/>
      </c>
      <c r="R427">
        <f>(fixed_payroll*R420+variable_cost_per_k*R422/1000)*R426*$B$416</f>
        <v/>
      </c>
    </row>
    <row r="428">
      <c r="A428" t="inlineStr">
        <is>
          <t>Rent</t>
        </is>
      </c>
      <c r="C428">
        <f>$B$411*(1+IF(C419&gt;=6,rent_review_uplift,0))*C420*$B$415</f>
        <v/>
      </c>
      <c r="D428">
        <f>$B$411*(1+IF(D419&gt;=6,rent_review_uplift,0))*D420*$B$415</f>
        <v/>
      </c>
      <c r="E428">
        <f>$B$411*(1+IF(E419&gt;=6,rent_review_uplift,0))*E420*$B$415</f>
        <v/>
      </c>
      <c r="F428">
        <f>$B$411*(1+IF(F419&gt;=6,rent_review_uplift,0))*F420*$B$415</f>
        <v/>
      </c>
      <c r="G428">
        <f>$B$411*(1+IF(G419&gt;=6,rent_review_uplift,0))*G420*$B$415</f>
        <v/>
      </c>
      <c r="H428">
        <f>$B$411*(1+IF(H419&gt;=6,rent_review_uplift,0))*H420*$B$415</f>
        <v/>
      </c>
      <c r="I428">
        <f>$B$411*(1+IF(I419&gt;=6,rent_review_uplift,0))*I420*$B$415</f>
        <v/>
      </c>
      <c r="J428">
        <f>$B$411*(1+IF(J419&gt;=6,rent_review_uplift,0))*J420*$B$415</f>
        <v/>
      </c>
      <c r="K428">
        <f>$B$411*(1+IF(K419&gt;=6,rent_review_uplift,0))*K420*$B$415</f>
        <v/>
      </c>
      <c r="L428">
        <f>$B$411*(1+IF(L419&gt;=6,rent_review_uplift,0))*L420*$B$415</f>
        <v/>
      </c>
      <c r="M428">
        <f>$B$411*(1+IF(M419&gt;=6,rent_review_uplift,0))*M420*$B$415</f>
        <v/>
      </c>
      <c r="N428">
        <f>$B$411*(1+IF(N419&gt;=6,rent_review_uplift,0))*N420*$B$415</f>
        <v/>
      </c>
      <c r="O428">
        <f>$B$411*(1+IF(O419&gt;=6,rent_review_uplift,0))*O420*$B$415</f>
        <v/>
      </c>
      <c r="P428">
        <f>$B$411*(1+IF(P419&gt;=6,rent_review_uplift,0))*P420*$B$415</f>
        <v/>
      </c>
      <c r="Q428">
        <f>$B$411*(1+IF(Q419&gt;=6,rent_review_uplift,0))*Q420*$B$415</f>
        <v/>
      </c>
      <c r="R428">
        <f>$B$411*(1+IF(R419&gt;=6,rent_review_uplift,0))*R420*$B$415</f>
        <v/>
      </c>
    </row>
    <row r="429">
      <c r="A429" t="inlineStr">
        <is>
          <t>Cost index</t>
        </is>
      </c>
      <c r="C429">
        <f>IF(C420=1,(1+cost_inflation)^(C419-1),0)</f>
        <v/>
      </c>
      <c r="D429">
        <f>IF(D420=1,(1+cost_inflation)^(D419-1),0)</f>
        <v/>
      </c>
      <c r="E429">
        <f>IF(E420=1,(1+cost_inflation)^(E419-1),0)</f>
        <v/>
      </c>
      <c r="F429">
        <f>IF(F420=1,(1+cost_inflation)^(F419-1),0)</f>
        <v/>
      </c>
      <c r="G429">
        <f>IF(G420=1,(1+cost_inflation)^(G419-1),0)</f>
        <v/>
      </c>
      <c r="H429">
        <f>IF(H420=1,(1+cost_inflation)^(H419-1),0)</f>
        <v/>
      </c>
      <c r="I429">
        <f>IF(I420=1,(1+cost_inflation)^(I419-1),0)</f>
        <v/>
      </c>
      <c r="J429">
        <f>IF(J420=1,(1+cost_inflation)^(J419-1),0)</f>
        <v/>
      </c>
      <c r="K429">
        <f>IF(K420=1,(1+cost_inflation)^(K419-1),0)</f>
        <v/>
      </c>
      <c r="L429">
        <f>IF(L420=1,(1+cost_inflation)^(L419-1),0)</f>
        <v/>
      </c>
      <c r="M429">
        <f>IF(M420=1,(1+cost_inflation)^(M419-1),0)</f>
        <v/>
      </c>
      <c r="N429">
        <f>IF(N420=1,(1+cost_inflation)^(N419-1),0)</f>
        <v/>
      </c>
      <c r="O429">
        <f>IF(O420=1,(1+cost_inflation)^(O419-1),0)</f>
        <v/>
      </c>
      <c r="P429">
        <f>IF(P420=1,(1+cost_inflation)^(P419-1),0)</f>
        <v/>
      </c>
      <c r="Q429">
        <f>IF(Q420=1,(1+cost_inflation)^(Q419-1),0)</f>
        <v/>
      </c>
      <c r="R429">
        <f>IF(R420=1,(1+cost_inflation)^(R419-1),0)</f>
        <v/>
      </c>
    </row>
    <row r="430">
      <c r="A430" t="inlineStr">
        <is>
          <t>Business rates</t>
        </is>
      </c>
      <c r="C430">
        <f>rateable_value*IF(rateable_value&lt;51000,rates_multiplier_rhl_small,IF(rateable_value&lt;500000,rates_multiplier_rhl_standard,rates_multiplier_high_value))*C429</f>
        <v/>
      </c>
      <c r="D430">
        <f>rateable_value*IF(rateable_value&lt;51000,rates_multiplier_rhl_small,IF(rateable_value&lt;500000,rates_multiplier_rhl_standard,rates_multiplier_high_value))*D429</f>
        <v/>
      </c>
      <c r="E430">
        <f>rateable_value*IF(rateable_value&lt;51000,rates_multiplier_rhl_small,IF(rateable_value&lt;500000,rates_multiplier_rhl_standard,rates_multiplier_high_value))*E429</f>
        <v/>
      </c>
      <c r="F430">
        <f>rateable_value*IF(rateable_value&lt;51000,rates_multiplier_rhl_small,IF(rateable_value&lt;500000,rates_multiplier_rhl_standard,rates_multiplier_high_value))*F429</f>
        <v/>
      </c>
      <c r="G430">
        <f>rateable_value*IF(rateable_value&lt;51000,rates_multiplier_rhl_small,IF(rateable_value&lt;500000,rates_multiplier_rhl_standard,rates_multiplier_high_value))*G429</f>
        <v/>
      </c>
      <c r="H430">
        <f>rateable_value*IF(rateable_value&lt;51000,rates_multiplier_rhl_small,IF(rateable_value&lt;500000,rates_multiplier_rhl_standard,rates_multiplier_high_value))*H429</f>
        <v/>
      </c>
      <c r="I430">
        <f>rateable_value*IF(rateable_value&lt;51000,rates_multiplier_rhl_small,IF(rateable_value&lt;500000,rates_multiplier_rhl_standard,rates_multiplier_high_value))*I429</f>
        <v/>
      </c>
      <c r="J430">
        <f>rateable_value*IF(rateable_value&lt;51000,rates_multiplier_rhl_small,IF(rateable_value&lt;500000,rates_multiplier_rhl_standard,rates_multiplier_high_value))*J429</f>
        <v/>
      </c>
      <c r="K430">
        <f>rateable_value*IF(rateable_value&lt;51000,rates_multiplier_rhl_small,IF(rateable_value&lt;500000,rates_multiplier_rhl_standard,rates_multiplier_high_value))*K429</f>
        <v/>
      </c>
      <c r="L430">
        <f>rateable_value*IF(rateable_value&lt;51000,rates_multiplier_rhl_small,IF(rateable_value&lt;500000,rates_multiplier_rhl_standard,rates_multiplier_high_value))*L429</f>
        <v/>
      </c>
      <c r="M430">
        <f>rateable_value*IF(rateable_value&lt;51000,rates_multiplier_rhl_small,IF(rateable_value&lt;500000,rates_multiplier_rhl_standard,rates_multiplier_high_value))*M429</f>
        <v/>
      </c>
      <c r="N430">
        <f>rateable_value*IF(rateable_value&lt;51000,rates_multiplier_rhl_small,IF(rateable_value&lt;500000,rates_multiplier_rhl_standard,rates_multiplier_high_value))*N429</f>
        <v/>
      </c>
      <c r="O430">
        <f>rateable_value*IF(rateable_value&lt;51000,rates_multiplier_rhl_small,IF(rateable_value&lt;500000,rates_multiplier_rhl_standard,rates_multiplier_high_value))*O429</f>
        <v/>
      </c>
      <c r="P430">
        <f>rateable_value*IF(rateable_value&lt;51000,rates_multiplier_rhl_small,IF(rateable_value&lt;500000,rates_multiplier_rhl_standard,rates_multiplier_high_value))*P429</f>
        <v/>
      </c>
      <c r="Q430">
        <f>rateable_value*IF(rateable_value&lt;51000,rates_multiplier_rhl_small,IF(rateable_value&lt;500000,rates_multiplier_rhl_standard,rates_multiplier_high_value))*Q429</f>
        <v/>
      </c>
      <c r="R430">
        <f>rateable_value*IF(rateable_value&lt;51000,rates_multiplier_rhl_small,IF(rateable_value&lt;500000,rates_multiplier_rhl_standard,rates_multiplier_high_value))*R429</f>
        <v/>
      </c>
    </row>
    <row r="431">
      <c r="A431" t="inlineStr">
        <is>
          <t>Service charge, utilities, insurance</t>
        </is>
      </c>
      <c r="C431">
        <f>occupancy_other_psf*area_sqft*C429</f>
        <v/>
      </c>
      <c r="D431">
        <f>occupancy_other_psf*area_sqft*D429</f>
        <v/>
      </c>
      <c r="E431">
        <f>occupancy_other_psf*area_sqft*E429</f>
        <v/>
      </c>
      <c r="F431">
        <f>occupancy_other_psf*area_sqft*F429</f>
        <v/>
      </c>
      <c r="G431">
        <f>occupancy_other_psf*area_sqft*G429</f>
        <v/>
      </c>
      <c r="H431">
        <f>occupancy_other_psf*area_sqft*H429</f>
        <v/>
      </c>
      <c r="I431">
        <f>occupancy_other_psf*area_sqft*I429</f>
        <v/>
      </c>
      <c r="J431">
        <f>occupancy_other_psf*area_sqft*J429</f>
        <v/>
      </c>
      <c r="K431">
        <f>occupancy_other_psf*area_sqft*K429</f>
        <v/>
      </c>
      <c r="L431">
        <f>occupancy_other_psf*area_sqft*L429</f>
        <v/>
      </c>
      <c r="M431">
        <f>occupancy_other_psf*area_sqft*M429</f>
        <v/>
      </c>
      <c r="N431">
        <f>occupancy_other_psf*area_sqft*N429</f>
        <v/>
      </c>
      <c r="O431">
        <f>occupancy_other_psf*area_sqft*O429</f>
        <v/>
      </c>
      <c r="P431">
        <f>occupancy_other_psf*area_sqft*P429</f>
        <v/>
      </c>
      <c r="Q431">
        <f>occupancy_other_psf*area_sqft*Q429</f>
        <v/>
      </c>
      <c r="R431">
        <f>occupancy_other_psf*area_sqft*R429</f>
        <v/>
      </c>
    </row>
    <row r="432">
      <c r="A432" t="inlineStr">
        <is>
          <t>Other store opex</t>
        </is>
      </c>
      <c r="C432">
        <f>C424*other_opex_pct_sales</f>
        <v/>
      </c>
      <c r="D432">
        <f>D424*other_opex_pct_sales</f>
        <v/>
      </c>
      <c r="E432">
        <f>E424*other_opex_pct_sales</f>
        <v/>
      </c>
      <c r="F432">
        <f>F424*other_opex_pct_sales</f>
        <v/>
      </c>
      <c r="G432">
        <f>G424*other_opex_pct_sales</f>
        <v/>
      </c>
      <c r="H432">
        <f>H424*other_opex_pct_sales</f>
        <v/>
      </c>
      <c r="I432">
        <f>I424*other_opex_pct_sales</f>
        <v/>
      </c>
      <c r="J432">
        <f>J424*other_opex_pct_sales</f>
        <v/>
      </c>
      <c r="K432">
        <f>K424*other_opex_pct_sales</f>
        <v/>
      </c>
      <c r="L432">
        <f>L424*other_opex_pct_sales</f>
        <v/>
      </c>
      <c r="M432">
        <f>M424*other_opex_pct_sales</f>
        <v/>
      </c>
      <c r="N432">
        <f>N424*other_opex_pct_sales</f>
        <v/>
      </c>
      <c r="O432">
        <f>O424*other_opex_pct_sales</f>
        <v/>
      </c>
      <c r="P432">
        <f>P424*other_opex_pct_sales</f>
        <v/>
      </c>
      <c r="Q432">
        <f>Q424*other_opex_pct_sales</f>
        <v/>
      </c>
      <c r="R432">
        <f>R424*other_opex_pct_sales</f>
        <v/>
      </c>
    </row>
    <row r="433">
      <c r="A433" t="inlineStr">
        <is>
          <t>Store EBITDA (4-wall)</t>
        </is>
      </c>
      <c r="C433">
        <f>C425-C427-C428-C430-C431-C432</f>
        <v/>
      </c>
      <c r="D433">
        <f>D425-D427-D428-D430-D431-D432</f>
        <v/>
      </c>
      <c r="E433">
        <f>E425-E427-E428-E430-E431-E432</f>
        <v/>
      </c>
      <c r="F433">
        <f>F425-F427-F428-F430-F431-F432</f>
        <v/>
      </c>
      <c r="G433">
        <f>G425-G427-G428-G430-G431-G432</f>
        <v/>
      </c>
      <c r="H433">
        <f>H425-H427-H428-H430-H431-H432</f>
        <v/>
      </c>
      <c r="I433">
        <f>I425-I427-I428-I430-I431-I432</f>
        <v/>
      </c>
      <c r="J433">
        <f>J425-J427-J428-J430-J431-J432</f>
        <v/>
      </c>
      <c r="K433">
        <f>K425-K427-K428-K430-K431-K432</f>
        <v/>
      </c>
      <c r="L433">
        <f>L425-L427-L428-L430-L431-L432</f>
        <v/>
      </c>
      <c r="M433">
        <f>M425-M427-M428-M430-M431-M432</f>
        <v/>
      </c>
      <c r="N433">
        <f>N425-N427-N428-N430-N431-N432</f>
        <v/>
      </c>
      <c r="O433">
        <f>O425-O427-O428-O430-O431-O432</f>
        <v/>
      </c>
      <c r="P433">
        <f>P425-P427-P428-P430-P431-P432</f>
        <v/>
      </c>
      <c r="Q433">
        <f>Q425-Q427-Q428-Q430-Q431-Q432</f>
        <v/>
      </c>
      <c r="R433">
        <f>R425-R427-R428-R430-R431-R432</f>
        <v/>
      </c>
    </row>
    <row r="434">
      <c r="A434" t="inlineStr">
        <is>
          <t>Pre-opening costs</t>
        </is>
      </c>
      <c r="C434">
        <f>IF(C419=0,pre_opening_costs,0)</f>
        <v/>
      </c>
      <c r="D434">
        <f>IF(D419=0,pre_opening_costs,0)</f>
        <v/>
      </c>
      <c r="E434">
        <f>IF(E419=0,pre_opening_costs,0)</f>
        <v/>
      </c>
      <c r="F434">
        <f>IF(F419=0,pre_opening_costs,0)</f>
        <v/>
      </c>
      <c r="G434">
        <f>IF(G419=0,pre_opening_costs,0)</f>
        <v/>
      </c>
      <c r="H434">
        <f>IF(H419=0,pre_opening_costs,0)</f>
        <v/>
      </c>
      <c r="I434">
        <f>IF(I419=0,pre_opening_costs,0)</f>
        <v/>
      </c>
      <c r="J434">
        <f>IF(J419=0,pre_opening_costs,0)</f>
        <v/>
      </c>
      <c r="K434">
        <f>IF(K419=0,pre_opening_costs,0)</f>
        <v/>
      </c>
      <c r="L434">
        <f>IF(L419=0,pre_opening_costs,0)</f>
        <v/>
      </c>
      <c r="M434">
        <f>IF(M419=0,pre_opening_costs,0)</f>
        <v/>
      </c>
      <c r="N434">
        <f>IF(N419=0,pre_opening_costs,0)</f>
        <v/>
      </c>
      <c r="O434">
        <f>IF(O419=0,pre_opening_costs,0)</f>
        <v/>
      </c>
      <c r="P434">
        <f>IF(P419=0,pre_opening_costs,0)</f>
        <v/>
      </c>
      <c r="Q434">
        <f>IF(Q419=0,pre_opening_costs,0)</f>
        <v/>
      </c>
      <c r="R434">
        <f>IF(R419=0,pre_opening_costs,0)</f>
        <v/>
      </c>
    </row>
    <row r="435">
      <c r="A435" t="inlineStr">
        <is>
          <t>Fit-out capex</t>
        </is>
      </c>
      <c r="C435">
        <f>IF(C419=0,$B$412,0)</f>
        <v/>
      </c>
      <c r="D435">
        <f>IF(D419=0,$B$412,0)</f>
        <v/>
      </c>
      <c r="E435">
        <f>IF(E419=0,$B$412,0)</f>
        <v/>
      </c>
      <c r="F435">
        <f>IF(F419=0,$B$412,0)</f>
        <v/>
      </c>
      <c r="G435">
        <f>IF(G419=0,$B$412,0)</f>
        <v/>
      </c>
      <c r="H435">
        <f>IF(H419=0,$B$412,0)</f>
        <v/>
      </c>
      <c r="I435">
        <f>IF(I419=0,$B$412,0)</f>
        <v/>
      </c>
      <c r="J435">
        <f>IF(J419=0,$B$412,0)</f>
        <v/>
      </c>
      <c r="K435">
        <f>IF(K419=0,$B$412,0)</f>
        <v/>
      </c>
      <c r="L435">
        <f>IF(L419=0,$B$412,0)</f>
        <v/>
      </c>
      <c r="M435">
        <f>IF(M419=0,$B$412,0)</f>
        <v/>
      </c>
      <c r="N435">
        <f>IF(N419=0,$B$412,0)</f>
        <v/>
      </c>
      <c r="O435">
        <f>IF(O419=0,$B$412,0)</f>
        <v/>
      </c>
      <c r="P435">
        <f>IF(P419=0,$B$412,0)</f>
        <v/>
      </c>
      <c r="Q435">
        <f>IF(Q419=0,$B$412,0)</f>
        <v/>
      </c>
      <c r="R435">
        <f>IF(R419=0,$B$412,0)</f>
        <v/>
      </c>
    </row>
    <row r="436">
      <c r="A436" t="inlineStr">
        <is>
          <t>Tax depreciation</t>
        </is>
      </c>
      <c r="C436">
        <f>IF(AND(C419&gt;=1,C419&lt;=tax_depreciation_years,C419&lt;=lease_term_years),$B$412/tax_depreciation_years,0)</f>
        <v/>
      </c>
      <c r="D436">
        <f>IF(AND(D419&gt;=1,D419&lt;=tax_depreciation_years,D419&lt;=lease_term_years),$B$412/tax_depreciation_years,0)</f>
        <v/>
      </c>
      <c r="E436">
        <f>IF(AND(E419&gt;=1,E419&lt;=tax_depreciation_years,E419&lt;=lease_term_years),$B$412/tax_depreciation_years,0)</f>
        <v/>
      </c>
      <c r="F436">
        <f>IF(AND(F419&gt;=1,F419&lt;=tax_depreciation_years,F419&lt;=lease_term_years),$B$412/tax_depreciation_years,0)</f>
        <v/>
      </c>
      <c r="G436">
        <f>IF(AND(G419&gt;=1,G419&lt;=tax_depreciation_years,G419&lt;=lease_term_years),$B$412/tax_depreciation_years,0)</f>
        <v/>
      </c>
      <c r="H436">
        <f>IF(AND(H419&gt;=1,H419&lt;=tax_depreciation_years,H419&lt;=lease_term_years),$B$412/tax_depreciation_years,0)</f>
        <v/>
      </c>
      <c r="I436">
        <f>IF(AND(I419&gt;=1,I419&lt;=tax_depreciation_years,I419&lt;=lease_term_years),$B$412/tax_depreciation_years,0)</f>
        <v/>
      </c>
      <c r="J436">
        <f>IF(AND(J419&gt;=1,J419&lt;=tax_depreciation_years,J419&lt;=lease_term_years),$B$412/tax_depreciation_years,0)</f>
        <v/>
      </c>
      <c r="K436">
        <f>IF(AND(K419&gt;=1,K419&lt;=tax_depreciation_years,K419&lt;=lease_term_years),$B$412/tax_depreciation_years,0)</f>
        <v/>
      </c>
      <c r="L436">
        <f>IF(AND(L419&gt;=1,L419&lt;=tax_depreciation_years,L419&lt;=lease_term_years),$B$412/tax_depreciation_years,0)</f>
        <v/>
      </c>
      <c r="M436">
        <f>IF(AND(M419&gt;=1,M419&lt;=tax_depreciation_years,M419&lt;=lease_term_years),$B$412/tax_depreciation_years,0)</f>
        <v/>
      </c>
      <c r="N436">
        <f>IF(AND(N419&gt;=1,N419&lt;=tax_depreciation_years,N419&lt;=lease_term_years),$B$412/tax_depreciation_years,0)</f>
        <v/>
      </c>
      <c r="O436">
        <f>IF(AND(O419&gt;=1,O419&lt;=tax_depreciation_years,O419&lt;=lease_term_years),$B$412/tax_depreciation_years,0)</f>
        <v/>
      </c>
      <c r="P436">
        <f>IF(AND(P419&gt;=1,P419&lt;=tax_depreciation_years,P419&lt;=lease_term_years),$B$412/tax_depreciation_years,0)</f>
        <v/>
      </c>
      <c r="Q436">
        <f>IF(AND(Q419&gt;=1,Q419&lt;=tax_depreciation_years,Q419&lt;=lease_term_years),$B$412/tax_depreciation_years,0)</f>
        <v/>
      </c>
      <c r="R436">
        <f>IF(AND(R419&gt;=1,R419&lt;=tax_depreciation_years,R419&lt;=lease_term_years),$B$412/tax_depreciation_years,0)</f>
        <v/>
      </c>
    </row>
    <row r="437">
      <c r="A437" t="inlineStr">
        <is>
          <t>Dilapidations</t>
        </is>
      </c>
      <c r="C437">
        <f>IF(C419=lease_term_years,dilapidations_at_exit,0)</f>
        <v/>
      </c>
      <c r="D437">
        <f>IF(D419=lease_term_years,dilapidations_at_exit,0)</f>
        <v/>
      </c>
      <c r="E437">
        <f>IF(E419=lease_term_years,dilapidations_at_exit,0)</f>
        <v/>
      </c>
      <c r="F437">
        <f>IF(F419=lease_term_years,dilapidations_at_exit,0)</f>
        <v/>
      </c>
      <c r="G437">
        <f>IF(G419=lease_term_years,dilapidations_at_exit,0)</f>
        <v/>
      </c>
      <c r="H437">
        <f>IF(H419=lease_term_years,dilapidations_at_exit,0)</f>
        <v/>
      </c>
      <c r="I437">
        <f>IF(I419=lease_term_years,dilapidations_at_exit,0)</f>
        <v/>
      </c>
      <c r="J437">
        <f>IF(J419=lease_term_years,dilapidations_at_exit,0)</f>
        <v/>
      </c>
      <c r="K437">
        <f>IF(K419=lease_term_years,dilapidations_at_exit,0)</f>
        <v/>
      </c>
      <c r="L437">
        <f>IF(L419=lease_term_years,dilapidations_at_exit,0)</f>
        <v/>
      </c>
      <c r="M437">
        <f>IF(M419=lease_term_years,dilapidations_at_exit,0)</f>
        <v/>
      </c>
      <c r="N437">
        <f>IF(N419=lease_term_years,dilapidations_at_exit,0)</f>
        <v/>
      </c>
      <c r="O437">
        <f>IF(O419=lease_term_years,dilapidations_at_exit,0)</f>
        <v/>
      </c>
      <c r="P437">
        <f>IF(P419=lease_term_years,dilapidations_at_exit,0)</f>
        <v/>
      </c>
      <c r="Q437">
        <f>IF(Q419=lease_term_years,dilapidations_at_exit,0)</f>
        <v/>
      </c>
      <c r="R437">
        <f>IF(R419=lease_term_years,dilapidations_at_exit,0)</f>
        <v/>
      </c>
    </row>
    <row r="438">
      <c r="A438" t="inlineStr">
        <is>
          <t>Taxable profit</t>
        </is>
      </c>
      <c r="C438">
        <f>C433-C434-C436-C437</f>
        <v/>
      </c>
      <c r="D438">
        <f>D433-D434-D436-D437</f>
        <v/>
      </c>
      <c r="E438">
        <f>E433-E434-E436-E437</f>
        <v/>
      </c>
      <c r="F438">
        <f>F433-F434-F436-F437</f>
        <v/>
      </c>
      <c r="G438">
        <f>G433-G434-G436-G437</f>
        <v/>
      </c>
      <c r="H438">
        <f>H433-H434-H436-H437</f>
        <v/>
      </c>
      <c r="I438">
        <f>I433-I434-I436-I437</f>
        <v/>
      </c>
      <c r="J438">
        <f>J433-J434-J436-J437</f>
        <v/>
      </c>
      <c r="K438">
        <f>K433-K434-K436-K437</f>
        <v/>
      </c>
      <c r="L438">
        <f>L433-L434-L436-L437</f>
        <v/>
      </c>
      <c r="M438">
        <f>M433-M434-M436-M437</f>
        <v/>
      </c>
      <c r="N438">
        <f>N433-N434-N436-N437</f>
        <v/>
      </c>
      <c r="O438">
        <f>O433-O434-O436-O437</f>
        <v/>
      </c>
      <c r="P438">
        <f>P433-P434-P436-P437</f>
        <v/>
      </c>
      <c r="Q438">
        <f>Q433-Q434-Q436-Q437</f>
        <v/>
      </c>
      <c r="R438">
        <f>R433-R434-R436-R437</f>
        <v/>
      </c>
    </row>
    <row r="439">
      <c r="A439" t="inlineStr">
        <is>
          <t>Tax (negative = group relief)</t>
        </is>
      </c>
      <c r="C439">
        <f>C438*tax_rate</f>
        <v/>
      </c>
      <c r="D439">
        <f>D438*tax_rate</f>
        <v/>
      </c>
      <c r="E439">
        <f>E438*tax_rate</f>
        <v/>
      </c>
      <c r="F439">
        <f>F438*tax_rate</f>
        <v/>
      </c>
      <c r="G439">
        <f>G438*tax_rate</f>
        <v/>
      </c>
      <c r="H439">
        <f>H438*tax_rate</f>
        <v/>
      </c>
      <c r="I439">
        <f>I438*tax_rate</f>
        <v/>
      </c>
      <c r="J439">
        <f>J438*tax_rate</f>
        <v/>
      </c>
      <c r="K439">
        <f>K438*tax_rate</f>
        <v/>
      </c>
      <c r="L439">
        <f>L438*tax_rate</f>
        <v/>
      </c>
      <c r="M439">
        <f>M438*tax_rate</f>
        <v/>
      </c>
      <c r="N439">
        <f>N438*tax_rate</f>
        <v/>
      </c>
      <c r="O439">
        <f>O438*tax_rate</f>
        <v/>
      </c>
      <c r="P439">
        <f>P438*tax_rate</f>
        <v/>
      </c>
      <c r="Q439">
        <f>Q438*tax_rate</f>
        <v/>
      </c>
      <c r="R439">
        <f>R438*tax_rate</f>
        <v/>
      </c>
    </row>
    <row r="440">
      <c r="A440" t="inlineStr">
        <is>
          <t>Stock held</t>
        </is>
      </c>
      <c r="C440">
        <f>IF(C419&lt;lease_term_years,stock_pct_sales*D424,0)</f>
        <v/>
      </c>
      <c r="D440">
        <f>IF(D419&lt;lease_term_years,stock_pct_sales*E424,0)</f>
        <v/>
      </c>
      <c r="E440">
        <f>IF(E419&lt;lease_term_years,stock_pct_sales*F424,0)</f>
        <v/>
      </c>
      <c r="F440">
        <f>IF(F419&lt;lease_term_years,stock_pct_sales*G424,0)</f>
        <v/>
      </c>
      <c r="G440">
        <f>IF(G419&lt;lease_term_years,stock_pct_sales*H424,0)</f>
        <v/>
      </c>
      <c r="H440">
        <f>IF(H419&lt;lease_term_years,stock_pct_sales*I424,0)</f>
        <v/>
      </c>
      <c r="I440">
        <f>IF(I419&lt;lease_term_years,stock_pct_sales*J424,0)</f>
        <v/>
      </c>
      <c r="J440">
        <f>IF(J419&lt;lease_term_years,stock_pct_sales*K424,0)</f>
        <v/>
      </c>
      <c r="K440">
        <f>IF(K419&lt;lease_term_years,stock_pct_sales*L424,0)</f>
        <v/>
      </c>
      <c r="L440">
        <f>IF(L419&lt;lease_term_years,stock_pct_sales*M424,0)</f>
        <v/>
      </c>
      <c r="M440">
        <f>IF(M419&lt;lease_term_years,stock_pct_sales*N424,0)</f>
        <v/>
      </c>
      <c r="N440">
        <f>IF(N419&lt;lease_term_years,stock_pct_sales*O424,0)</f>
        <v/>
      </c>
      <c r="O440">
        <f>IF(O419&lt;lease_term_years,stock_pct_sales*P424,0)</f>
        <v/>
      </c>
      <c r="P440">
        <f>IF(P419&lt;lease_term_years,stock_pct_sales*Q424,0)</f>
        <v/>
      </c>
      <c r="Q440">
        <f>IF(Q419&lt;lease_term_years,stock_pct_sales*R424,0)</f>
        <v/>
      </c>
      <c r="R440">
        <f>0</f>
        <v/>
      </c>
    </row>
    <row r="441">
      <c r="A441" t="inlineStr">
        <is>
          <t>Change in stock</t>
        </is>
      </c>
      <c r="C441">
        <f>C440</f>
        <v/>
      </c>
      <c r="D441">
        <f>D440-C440</f>
        <v/>
      </c>
      <c r="E441">
        <f>E440-D440</f>
        <v/>
      </c>
      <c r="F441">
        <f>F440-E440</f>
        <v/>
      </c>
      <c r="G441">
        <f>G440-F440</f>
        <v/>
      </c>
      <c r="H441">
        <f>H440-G440</f>
        <v/>
      </c>
      <c r="I441">
        <f>I440-H440</f>
        <v/>
      </c>
      <c r="J441">
        <f>J440-I440</f>
        <v/>
      </c>
      <c r="K441">
        <f>K440-J440</f>
        <v/>
      </c>
      <c r="L441">
        <f>L440-K440</f>
        <v/>
      </c>
      <c r="M441">
        <f>M440-L440</f>
        <v/>
      </c>
      <c r="N441">
        <f>N440-M440</f>
        <v/>
      </c>
      <c r="O441">
        <f>O440-N440</f>
        <v/>
      </c>
      <c r="P441">
        <f>P440-O440</f>
        <v/>
      </c>
      <c r="Q441">
        <f>Q440-P440</f>
        <v/>
      </c>
      <c r="R441">
        <f>R440-Q440</f>
        <v/>
      </c>
    </row>
    <row r="442">
      <c r="A442" t="inlineStr">
        <is>
          <t>Free cash flow</t>
        </is>
      </c>
      <c r="C442">
        <f>C433-C434-C439-C435-C441-C437</f>
        <v/>
      </c>
      <c r="D442">
        <f>D433-D434-D439-D435-D441-D437</f>
        <v/>
      </c>
      <c r="E442">
        <f>E433-E434-E439-E435-E441-E437</f>
        <v/>
      </c>
      <c r="F442">
        <f>F433-F434-F439-F435-F441-F437</f>
        <v/>
      </c>
      <c r="G442">
        <f>G433-G434-G439-G435-G441-G437</f>
        <v/>
      </c>
      <c r="H442">
        <f>H433-H434-H439-H435-H441-H437</f>
        <v/>
      </c>
      <c r="I442">
        <f>I433-I434-I439-I435-I441-I437</f>
        <v/>
      </c>
      <c r="J442">
        <f>J433-J434-J439-J435-J441-J437</f>
        <v/>
      </c>
      <c r="K442">
        <f>K433-K434-K439-K435-K441-K437</f>
        <v/>
      </c>
      <c r="L442">
        <f>L433-L434-L439-L435-L441-L437</f>
        <v/>
      </c>
      <c r="M442">
        <f>M433-M434-M439-M435-M441-M437</f>
        <v/>
      </c>
      <c r="N442">
        <f>N433-N434-N439-N435-N441-N437</f>
        <v/>
      </c>
      <c r="O442">
        <f>O433-O434-O439-O435-O441-O437</f>
        <v/>
      </c>
      <c r="P442">
        <f>P433-P434-P439-P435-P441-P437</f>
        <v/>
      </c>
      <c r="Q442">
        <f>Q433-Q434-Q439-Q435-Q441-Q437</f>
        <v/>
      </c>
      <c r="R442">
        <f>R433-R434-R439-R435-R441-R437</f>
        <v/>
      </c>
    </row>
    <row r="443">
      <c r="A443" t="inlineStr">
        <is>
          <t>Discount factor</t>
        </is>
      </c>
      <c r="C443">
        <f>1/(1+discount_rate)^C419</f>
        <v/>
      </c>
      <c r="D443">
        <f>1/(1+discount_rate)^D419</f>
        <v/>
      </c>
      <c r="E443">
        <f>1/(1+discount_rate)^E419</f>
        <v/>
      </c>
      <c r="F443">
        <f>1/(1+discount_rate)^F419</f>
        <v/>
      </c>
      <c r="G443">
        <f>1/(1+discount_rate)^G419</f>
        <v/>
      </c>
      <c r="H443">
        <f>1/(1+discount_rate)^H419</f>
        <v/>
      </c>
      <c r="I443">
        <f>1/(1+discount_rate)^I419</f>
        <v/>
      </c>
      <c r="J443">
        <f>1/(1+discount_rate)^J419</f>
        <v/>
      </c>
      <c r="K443">
        <f>1/(1+discount_rate)^K419</f>
        <v/>
      </c>
      <c r="L443">
        <f>1/(1+discount_rate)^L419</f>
        <v/>
      </c>
      <c r="M443">
        <f>1/(1+discount_rate)^M419</f>
        <v/>
      </c>
      <c r="N443">
        <f>1/(1+discount_rate)^N419</f>
        <v/>
      </c>
      <c r="O443">
        <f>1/(1+discount_rate)^O419</f>
        <v/>
      </c>
      <c r="P443">
        <f>1/(1+discount_rate)^P419</f>
        <v/>
      </c>
      <c r="Q443">
        <f>1/(1+discount_rate)^Q419</f>
        <v/>
      </c>
      <c r="R443">
        <f>1/(1+discount_rate)^R419</f>
        <v/>
      </c>
    </row>
    <row r="444">
      <c r="A444" t="inlineStr">
        <is>
          <t>Present value</t>
        </is>
      </c>
      <c r="C444">
        <f>C442*C443</f>
        <v/>
      </c>
      <c r="D444">
        <f>D442*D443</f>
        <v/>
      </c>
      <c r="E444">
        <f>E442*E443</f>
        <v/>
      </c>
      <c r="F444">
        <f>F442*F443</f>
        <v/>
      </c>
      <c r="G444">
        <f>G442*G443</f>
        <v/>
      </c>
      <c r="H444">
        <f>H442*H443</f>
        <v/>
      </c>
      <c r="I444">
        <f>I442*I443</f>
        <v/>
      </c>
      <c r="J444">
        <f>J442*J443</f>
        <v/>
      </c>
      <c r="K444">
        <f>K442*K443</f>
        <v/>
      </c>
      <c r="L444">
        <f>L442*L443</f>
        <v/>
      </c>
      <c r="M444">
        <f>M442*M443</f>
        <v/>
      </c>
      <c r="N444">
        <f>N442*N443</f>
        <v/>
      </c>
      <c r="O444">
        <f>O442*O443</f>
        <v/>
      </c>
      <c r="P444">
        <f>P442*P443</f>
        <v/>
      </c>
      <c r="Q444">
        <f>Q442*Q443</f>
        <v/>
      </c>
      <c r="R444">
        <f>R442*R443</f>
        <v/>
      </c>
    </row>
    <row r="445">
      <c r="A445" t="inlineStr">
        <is>
          <t>Cumulative cash flow</t>
        </is>
      </c>
      <c r="C445">
        <f>C442</f>
        <v/>
      </c>
      <c r="D445">
        <f>C445+D442</f>
        <v/>
      </c>
      <c r="E445">
        <f>D445+E442</f>
        <v/>
      </c>
      <c r="F445">
        <f>E445+F442</f>
        <v/>
      </c>
      <c r="G445">
        <f>F445+G442</f>
        <v/>
      </c>
      <c r="H445">
        <f>G445+H442</f>
        <v/>
      </c>
      <c r="I445">
        <f>H445+I442</f>
        <v/>
      </c>
      <c r="J445">
        <f>I445+J442</f>
        <v/>
      </c>
      <c r="K445">
        <f>J445+K442</f>
        <v/>
      </c>
      <c r="L445">
        <f>K445+L442</f>
        <v/>
      </c>
      <c r="M445">
        <f>L445+M442</f>
        <v/>
      </c>
      <c r="N445">
        <f>M445+N442</f>
        <v/>
      </c>
      <c r="O445">
        <f>N445+O442</f>
        <v/>
      </c>
      <c r="P445">
        <f>O445+P442</f>
        <v/>
      </c>
      <c r="Q445">
        <f>P445+Q442</f>
        <v/>
      </c>
      <c r="R445">
        <f>Q445+R442</f>
        <v/>
      </c>
    </row>
    <row r="446">
      <c r="A446" t="inlineStr">
        <is>
          <t>Payback helper (months)</t>
        </is>
      </c>
      <c r="C446">
        <f>0</f>
        <v/>
      </c>
      <c r="D446">
        <f>IF(AND(C445&lt;0,D445&gt;=0),(D419-1+(-C445)/D442)*12,0)</f>
        <v/>
      </c>
      <c r="E446">
        <f>IF(AND(D445&lt;0,E445&gt;=0),(E419-1+(-D445)/E442)*12,0)</f>
        <v/>
      </c>
      <c r="F446">
        <f>IF(AND(E445&lt;0,F445&gt;=0),(F419-1+(-E445)/F442)*12,0)</f>
        <v/>
      </c>
      <c r="G446">
        <f>IF(AND(F445&lt;0,G445&gt;=0),(G419-1+(-F445)/G442)*12,0)</f>
        <v/>
      </c>
      <c r="H446">
        <f>IF(AND(G445&lt;0,H445&gt;=0),(H419-1+(-G445)/H442)*12,0)</f>
        <v/>
      </c>
      <c r="I446">
        <f>IF(AND(H445&lt;0,I445&gt;=0),(I419-1+(-H445)/I442)*12,0)</f>
        <v/>
      </c>
      <c r="J446">
        <f>IF(AND(I445&lt;0,J445&gt;=0),(J419-1+(-I445)/J442)*12,0)</f>
        <v/>
      </c>
      <c r="K446">
        <f>IF(AND(J445&lt;0,K445&gt;=0),(K419-1+(-J445)/K442)*12,0)</f>
        <v/>
      </c>
      <c r="L446">
        <f>IF(AND(K445&lt;0,L445&gt;=0),(L419-1+(-K445)/L442)*12,0)</f>
        <v/>
      </c>
      <c r="M446">
        <f>IF(AND(L445&lt;0,M445&gt;=0),(M419-1+(-L445)/M442)*12,0)</f>
        <v/>
      </c>
      <c r="N446">
        <f>IF(AND(M445&lt;0,N445&gt;=0),(N419-1+(-M445)/N442)*12,0)</f>
        <v/>
      </c>
      <c r="O446">
        <f>IF(AND(N445&lt;0,O445&gt;=0),(O419-1+(-N445)/O442)*12,0)</f>
        <v/>
      </c>
      <c r="P446">
        <f>IF(AND(O445&lt;0,P445&gt;=0),(P419-1+(-O445)/P442)*12,0)</f>
        <v/>
      </c>
      <c r="Q446">
        <f>IF(AND(P445&lt;0,Q445&gt;=0),(Q419-1+(-P445)/Q442)*12,0)</f>
        <v/>
      </c>
      <c r="R446">
        <f>IF(AND(Q445&lt;0,R445&gt;=0),(R419-1+(-Q445)/R442)*12,0)</f>
        <v/>
      </c>
    </row>
    <row r="448">
      <c r="A448" s="10" t="inlineStr">
        <is>
          <t>npv</t>
        </is>
      </c>
      <c r="B448" s="8">
        <f>SUM($C$444:$R$444)</f>
        <v/>
      </c>
    </row>
    <row r="449">
      <c r="A449" s="10" t="inlineStr">
        <is>
          <t>irr</t>
        </is>
      </c>
      <c r="B449" s="6">
        <f>IRR($C$442:$R$442)</f>
        <v/>
      </c>
    </row>
    <row r="450">
      <c r="A450" s="10" t="inlineStr">
        <is>
          <t>payback_months</t>
        </is>
      </c>
      <c r="B450" s="9">
        <f>IF(SUM($C$446:$R$446)=0,"n/a",SUM($C$446:$R$446))</f>
        <v/>
      </c>
    </row>
    <row r="453">
      <c r="A453" s="10" t="inlineStr">
        <is>
          <t>Tornado: rent_per_year high (+20%)</t>
        </is>
      </c>
    </row>
    <row r="454">
      <c r="A454" t="inlineStr">
        <is>
          <t>param: density</t>
        </is>
      </c>
      <c r="B454">
        <f>mature_sales_density</f>
        <v/>
      </c>
    </row>
    <row r="455">
      <c r="A455" t="inlineStr">
        <is>
          <t>param: gm</t>
        </is>
      </c>
      <c r="B455">
        <f>product_gross_margin</f>
        <v/>
      </c>
    </row>
    <row r="456">
      <c r="A456" t="inlineStr">
        <is>
          <t>param: rent</t>
        </is>
      </c>
      <c r="B456">
        <f>rent_per_year</f>
        <v/>
      </c>
    </row>
    <row r="457">
      <c r="A457" t="inlineStr">
        <is>
          <t>param: capex</t>
        </is>
      </c>
      <c r="B457">
        <f>fitout_capex</f>
        <v/>
      </c>
    </row>
    <row r="458">
      <c r="A458" t="inlineStr">
        <is>
          <t>param: ramp1</t>
        </is>
      </c>
      <c r="B458">
        <f>ramp_year1</f>
        <v/>
      </c>
    </row>
    <row r="459">
      <c r="A459" t="inlineStr">
        <is>
          <t>param: ramp2</t>
        </is>
      </c>
      <c r="B459">
        <f>ramp_year2</f>
        <v/>
      </c>
    </row>
    <row r="460">
      <c r="A460" t="inlineStr">
        <is>
          <t>param: rent_mult</t>
        </is>
      </c>
      <c r="B460" t="n">
        <v>1.2</v>
      </c>
    </row>
    <row r="461">
      <c r="A461" t="inlineStr">
        <is>
          <t>param: payroll_mult</t>
        </is>
      </c>
      <c r="B461" t="n">
        <v>1</v>
      </c>
    </row>
    <row r="462">
      <c r="A462" t="inlineStr">
        <is>
          <t>param: ramp_mult</t>
        </is>
      </c>
      <c r="B462" t="n">
        <v>1</v>
      </c>
    </row>
    <row r="464">
      <c r="A464" t="inlineStr">
        <is>
          <t>Year</t>
        </is>
      </c>
      <c r="C464" t="n">
        <v>0</v>
      </c>
      <c r="D464" t="n">
        <v>1</v>
      </c>
      <c r="E464" t="n">
        <v>2</v>
      </c>
      <c r="F464" t="n">
        <v>3</v>
      </c>
      <c r="G464" t="n">
        <v>4</v>
      </c>
      <c r="H464" t="n">
        <v>5</v>
      </c>
      <c r="I464" t="n">
        <v>6</v>
      </c>
      <c r="J464" t="n">
        <v>7</v>
      </c>
      <c r="K464" t="n">
        <v>8</v>
      </c>
      <c r="L464" t="n">
        <v>9</v>
      </c>
      <c r="M464" t="n">
        <v>10</v>
      </c>
      <c r="N464" t="n">
        <v>11</v>
      </c>
      <c r="O464" t="n">
        <v>12</v>
      </c>
      <c r="P464" t="n">
        <v>13</v>
      </c>
      <c r="Q464" t="n">
        <v>14</v>
      </c>
      <c r="R464" t="n">
        <v>15</v>
      </c>
    </row>
    <row r="465">
      <c r="A465" t="inlineStr">
        <is>
          <t>Trading year flag</t>
        </is>
      </c>
      <c r="C465">
        <f>IF(AND(C464&gt;=1,C464&lt;=lease_term_years),1,0)</f>
        <v/>
      </c>
      <c r="D465">
        <f>IF(AND(D464&gt;=1,D464&lt;=lease_term_years),1,0)</f>
        <v/>
      </c>
      <c r="E465">
        <f>IF(AND(E464&gt;=1,E464&lt;=lease_term_years),1,0)</f>
        <v/>
      </c>
      <c r="F465">
        <f>IF(AND(F464&gt;=1,F464&lt;=lease_term_years),1,0)</f>
        <v/>
      </c>
      <c r="G465">
        <f>IF(AND(G464&gt;=1,G464&lt;=lease_term_years),1,0)</f>
        <v/>
      </c>
      <c r="H465">
        <f>IF(AND(H464&gt;=1,H464&lt;=lease_term_years),1,0)</f>
        <v/>
      </c>
      <c r="I465">
        <f>IF(AND(I464&gt;=1,I464&lt;=lease_term_years),1,0)</f>
        <v/>
      </c>
      <c r="J465">
        <f>IF(AND(J464&gt;=1,J464&lt;=lease_term_years),1,0)</f>
        <v/>
      </c>
      <c r="K465">
        <f>IF(AND(K464&gt;=1,K464&lt;=lease_term_years),1,0)</f>
        <v/>
      </c>
      <c r="L465">
        <f>IF(AND(L464&gt;=1,L464&lt;=lease_term_years),1,0)</f>
        <v/>
      </c>
      <c r="M465">
        <f>IF(AND(M464&gt;=1,M464&lt;=lease_term_years),1,0)</f>
        <v/>
      </c>
      <c r="N465">
        <f>IF(AND(N464&gt;=1,N464&lt;=lease_term_years),1,0)</f>
        <v/>
      </c>
      <c r="O465">
        <f>IF(AND(O464&gt;=1,O464&lt;=lease_term_years),1,0)</f>
        <v/>
      </c>
      <c r="P465">
        <f>IF(AND(P464&gt;=1,P464&lt;=lease_term_years),1,0)</f>
        <v/>
      </c>
      <c r="Q465">
        <f>IF(AND(Q464&gt;=1,Q464&lt;=lease_term_years),1,0)</f>
        <v/>
      </c>
      <c r="R465">
        <f>IF(AND(R464&gt;=1,R464&lt;=lease_term_years),1,0)</f>
        <v/>
      </c>
    </row>
    <row r="466">
      <c r="A466" t="inlineStr">
        <is>
          <t>Ramp-up (share of mature volume)</t>
        </is>
      </c>
      <c r="C466">
        <f>IF(C464=1,1-(1-$B$458)*$B$462,IF(C464=2,1-(1-$B$459)*$B$462,1))*C465</f>
        <v/>
      </c>
      <c r="D466">
        <f>IF(D464=1,1-(1-$B$458)*$B$462,IF(D464=2,1-(1-$B$459)*$B$462,1))*D465</f>
        <v/>
      </c>
      <c r="E466">
        <f>IF(E464=1,1-(1-$B$458)*$B$462,IF(E464=2,1-(1-$B$459)*$B$462,1))*E465</f>
        <v/>
      </c>
      <c r="F466">
        <f>IF(F464=1,1-(1-$B$458)*$B$462,IF(F464=2,1-(1-$B$459)*$B$462,1))*F465</f>
        <v/>
      </c>
      <c r="G466">
        <f>IF(G464=1,1-(1-$B$458)*$B$462,IF(G464=2,1-(1-$B$459)*$B$462,1))*G465</f>
        <v/>
      </c>
      <c r="H466">
        <f>IF(H464=1,1-(1-$B$458)*$B$462,IF(H464=2,1-(1-$B$459)*$B$462,1))*H465</f>
        <v/>
      </c>
      <c r="I466">
        <f>IF(I464=1,1-(1-$B$458)*$B$462,IF(I464=2,1-(1-$B$459)*$B$462,1))*I465</f>
        <v/>
      </c>
      <c r="J466">
        <f>IF(J464=1,1-(1-$B$458)*$B$462,IF(J464=2,1-(1-$B$459)*$B$462,1))*J465</f>
        <v/>
      </c>
      <c r="K466">
        <f>IF(K464=1,1-(1-$B$458)*$B$462,IF(K464=2,1-(1-$B$459)*$B$462,1))*K465</f>
        <v/>
      </c>
      <c r="L466">
        <f>IF(L464=1,1-(1-$B$458)*$B$462,IF(L464=2,1-(1-$B$459)*$B$462,1))*L465</f>
        <v/>
      </c>
      <c r="M466">
        <f>IF(M464=1,1-(1-$B$458)*$B$462,IF(M464=2,1-(1-$B$459)*$B$462,1))*M465</f>
        <v/>
      </c>
      <c r="N466">
        <f>IF(N464=1,1-(1-$B$458)*$B$462,IF(N464=2,1-(1-$B$459)*$B$462,1))*N465</f>
        <v/>
      </c>
      <c r="O466">
        <f>IF(O464=1,1-(1-$B$458)*$B$462,IF(O464=2,1-(1-$B$459)*$B$462,1))*O465</f>
        <v/>
      </c>
      <c r="P466">
        <f>IF(P464=1,1-(1-$B$458)*$B$462,IF(P464=2,1-(1-$B$459)*$B$462,1))*P465</f>
        <v/>
      </c>
      <c r="Q466">
        <f>IF(Q464=1,1-(1-$B$458)*$B$462,IF(Q464=2,1-(1-$B$459)*$B$462,1))*Q465</f>
        <v/>
      </c>
      <c r="R466">
        <f>IF(R464=1,1-(1-$B$458)*$B$462,IF(R464=2,1-(1-$B$459)*$B$462,1))*R465</f>
        <v/>
      </c>
    </row>
    <row r="467">
      <c r="A467" t="inlineStr">
        <is>
          <t>Sales volume (year-1 prices)</t>
        </is>
      </c>
      <c r="C467">
        <f>area_sqft*$B$454*C466</f>
        <v/>
      </c>
      <c r="D467">
        <f>area_sqft*$B$454*D466</f>
        <v/>
      </c>
      <c r="E467">
        <f>area_sqft*$B$454*E466</f>
        <v/>
      </c>
      <c r="F467">
        <f>area_sqft*$B$454*F466</f>
        <v/>
      </c>
      <c r="G467">
        <f>area_sqft*$B$454*G466</f>
        <v/>
      </c>
      <c r="H467">
        <f>area_sqft*$B$454*H466</f>
        <v/>
      </c>
      <c r="I467">
        <f>area_sqft*$B$454*I466</f>
        <v/>
      </c>
      <c r="J467">
        <f>area_sqft*$B$454*J466</f>
        <v/>
      </c>
      <c r="K467">
        <f>area_sqft*$B$454*K466</f>
        <v/>
      </c>
      <c r="L467">
        <f>area_sqft*$B$454*L466</f>
        <v/>
      </c>
      <c r="M467">
        <f>area_sqft*$B$454*M466</f>
        <v/>
      </c>
      <c r="N467">
        <f>area_sqft*$B$454*N466</f>
        <v/>
      </c>
      <c r="O467">
        <f>area_sqft*$B$454*O466</f>
        <v/>
      </c>
      <c r="P467">
        <f>area_sqft*$B$454*P466</f>
        <v/>
      </c>
      <c r="Q467">
        <f>area_sqft*$B$454*Q466</f>
        <v/>
      </c>
      <c r="R467">
        <f>area_sqft*$B$454*R466</f>
        <v/>
      </c>
    </row>
    <row r="468">
      <c r="A468" t="inlineStr">
        <is>
          <t>Sales growth index</t>
        </is>
      </c>
      <c r="C468">
        <f>IF(C465=1,(1+sales_growth)^(C464-1),0)</f>
        <v/>
      </c>
      <c r="D468">
        <f>IF(D465=1,(1+sales_growth)^(D464-1),0)</f>
        <v/>
      </c>
      <c r="E468">
        <f>IF(E465=1,(1+sales_growth)^(E464-1),0)</f>
        <v/>
      </c>
      <c r="F468">
        <f>IF(F465=1,(1+sales_growth)^(F464-1),0)</f>
        <v/>
      </c>
      <c r="G468">
        <f>IF(G465=1,(1+sales_growth)^(G464-1),0)</f>
        <v/>
      </c>
      <c r="H468">
        <f>IF(H465=1,(1+sales_growth)^(H464-1),0)</f>
        <v/>
      </c>
      <c r="I468">
        <f>IF(I465=1,(1+sales_growth)^(I464-1),0)</f>
        <v/>
      </c>
      <c r="J468">
        <f>IF(J465=1,(1+sales_growth)^(J464-1),0)</f>
        <v/>
      </c>
      <c r="K468">
        <f>IF(K465=1,(1+sales_growth)^(K464-1),0)</f>
        <v/>
      </c>
      <c r="L468">
        <f>IF(L465=1,(1+sales_growth)^(L464-1),0)</f>
        <v/>
      </c>
      <c r="M468">
        <f>IF(M465=1,(1+sales_growth)^(M464-1),0)</f>
        <v/>
      </c>
      <c r="N468">
        <f>IF(N465=1,(1+sales_growth)^(N464-1),0)</f>
        <v/>
      </c>
      <c r="O468">
        <f>IF(O465=1,(1+sales_growth)^(O464-1),0)</f>
        <v/>
      </c>
      <c r="P468">
        <f>IF(P465=1,(1+sales_growth)^(P464-1),0)</f>
        <v/>
      </c>
      <c r="Q468">
        <f>IF(Q465=1,(1+sales_growth)^(Q464-1),0)</f>
        <v/>
      </c>
      <c r="R468">
        <f>IF(R465=1,(1+sales_growth)^(R464-1),0)</f>
        <v/>
      </c>
    </row>
    <row r="469">
      <c r="A469" t="inlineStr">
        <is>
          <t>Sales</t>
        </is>
      </c>
      <c r="C469">
        <f>C467*C468</f>
        <v/>
      </c>
      <c r="D469">
        <f>D467*D468</f>
        <v/>
      </c>
      <c r="E469">
        <f>E467*E468</f>
        <v/>
      </c>
      <c r="F469">
        <f>F467*F468</f>
        <v/>
      </c>
      <c r="G469">
        <f>G467*G468</f>
        <v/>
      </c>
      <c r="H469">
        <f>H467*H468</f>
        <v/>
      </c>
      <c r="I469">
        <f>I467*I468</f>
        <v/>
      </c>
      <c r="J469">
        <f>J467*J468</f>
        <v/>
      </c>
      <c r="K469">
        <f>K467*K468</f>
        <v/>
      </c>
      <c r="L469">
        <f>L467*L468</f>
        <v/>
      </c>
      <c r="M469">
        <f>M467*M468</f>
        <v/>
      </c>
      <c r="N469">
        <f>N467*N468</f>
        <v/>
      </c>
      <c r="O469">
        <f>O467*O468</f>
        <v/>
      </c>
      <c r="P469">
        <f>P467*P468</f>
        <v/>
      </c>
      <c r="Q469">
        <f>Q467*Q468</f>
        <v/>
      </c>
      <c r="R469">
        <f>R467*R468</f>
        <v/>
      </c>
    </row>
    <row r="470">
      <c r="A470" t="inlineStr">
        <is>
          <t>Gross margin</t>
        </is>
      </c>
      <c r="C470">
        <f>C469*$B$455</f>
        <v/>
      </c>
      <c r="D470">
        <f>D469*$B$455</f>
        <v/>
      </c>
      <c r="E470">
        <f>E469*$B$455</f>
        <v/>
      </c>
      <c r="F470">
        <f>F469*$B$455</f>
        <v/>
      </c>
      <c r="G470">
        <f>G469*$B$455</f>
        <v/>
      </c>
      <c r="H470">
        <f>H469*$B$455</f>
        <v/>
      </c>
      <c r="I470">
        <f>I469*$B$455</f>
        <v/>
      </c>
      <c r="J470">
        <f>J469*$B$455</f>
        <v/>
      </c>
      <c r="K470">
        <f>K469*$B$455</f>
        <v/>
      </c>
      <c r="L470">
        <f>L469*$B$455</f>
        <v/>
      </c>
      <c r="M470">
        <f>M469*$B$455</f>
        <v/>
      </c>
      <c r="N470">
        <f>N469*$B$455</f>
        <v/>
      </c>
      <c r="O470">
        <f>O469*$B$455</f>
        <v/>
      </c>
      <c r="P470">
        <f>P469*$B$455</f>
        <v/>
      </c>
      <c r="Q470">
        <f>Q469*$B$455</f>
        <v/>
      </c>
      <c r="R470">
        <f>R469*$B$455</f>
        <v/>
      </c>
    </row>
    <row r="471">
      <c r="A471" t="inlineStr">
        <is>
          <t>Wage index</t>
        </is>
      </c>
      <c r="C471">
        <f>IF(C465=1,(1+wage_inflation)^(C464-1),0)</f>
        <v/>
      </c>
      <c r="D471">
        <f>IF(D465=1,(1+wage_inflation)^(D464-1),0)</f>
        <v/>
      </c>
      <c r="E471">
        <f>IF(E465=1,(1+wage_inflation)^(E464-1),0)</f>
        <v/>
      </c>
      <c r="F471">
        <f>IF(F465=1,(1+wage_inflation)^(F464-1),0)</f>
        <v/>
      </c>
      <c r="G471">
        <f>IF(G465=1,(1+wage_inflation)^(G464-1),0)</f>
        <v/>
      </c>
      <c r="H471">
        <f>IF(H465=1,(1+wage_inflation)^(H464-1),0)</f>
        <v/>
      </c>
      <c r="I471">
        <f>IF(I465=1,(1+wage_inflation)^(I464-1),0)</f>
        <v/>
      </c>
      <c r="J471">
        <f>IF(J465=1,(1+wage_inflation)^(J464-1),0)</f>
        <v/>
      </c>
      <c r="K471">
        <f>IF(K465=1,(1+wage_inflation)^(K464-1),0)</f>
        <v/>
      </c>
      <c r="L471">
        <f>IF(L465=1,(1+wage_inflation)^(L464-1),0)</f>
        <v/>
      </c>
      <c r="M471">
        <f>IF(M465=1,(1+wage_inflation)^(M464-1),0)</f>
        <v/>
      </c>
      <c r="N471">
        <f>IF(N465=1,(1+wage_inflation)^(N464-1),0)</f>
        <v/>
      </c>
      <c r="O471">
        <f>IF(O465=1,(1+wage_inflation)^(O464-1),0)</f>
        <v/>
      </c>
      <c r="P471">
        <f>IF(P465=1,(1+wage_inflation)^(P464-1),0)</f>
        <v/>
      </c>
      <c r="Q471">
        <f>IF(Q465=1,(1+wage_inflation)^(Q464-1),0)</f>
        <v/>
      </c>
      <c r="R471">
        <f>IF(R465=1,(1+wage_inflation)^(R464-1),0)</f>
        <v/>
      </c>
    </row>
    <row r="472">
      <c r="A472" t="inlineStr">
        <is>
          <t>Payroll</t>
        </is>
      </c>
      <c r="C472">
        <f>(fixed_payroll*C465+variable_cost_per_k*C467/1000)*C471*$B$461</f>
        <v/>
      </c>
      <c r="D472">
        <f>(fixed_payroll*D465+variable_cost_per_k*D467/1000)*D471*$B$461</f>
        <v/>
      </c>
      <c r="E472">
        <f>(fixed_payroll*E465+variable_cost_per_k*E467/1000)*E471*$B$461</f>
        <v/>
      </c>
      <c r="F472">
        <f>(fixed_payroll*F465+variable_cost_per_k*F467/1000)*F471*$B$461</f>
        <v/>
      </c>
      <c r="G472">
        <f>(fixed_payroll*G465+variable_cost_per_k*G467/1000)*G471*$B$461</f>
        <v/>
      </c>
      <c r="H472">
        <f>(fixed_payroll*H465+variable_cost_per_k*H467/1000)*H471*$B$461</f>
        <v/>
      </c>
      <c r="I472">
        <f>(fixed_payroll*I465+variable_cost_per_k*I467/1000)*I471*$B$461</f>
        <v/>
      </c>
      <c r="J472">
        <f>(fixed_payroll*J465+variable_cost_per_k*J467/1000)*J471*$B$461</f>
        <v/>
      </c>
      <c r="K472">
        <f>(fixed_payroll*K465+variable_cost_per_k*K467/1000)*K471*$B$461</f>
        <v/>
      </c>
      <c r="L472">
        <f>(fixed_payroll*L465+variable_cost_per_k*L467/1000)*L471*$B$461</f>
        <v/>
      </c>
      <c r="M472">
        <f>(fixed_payroll*M465+variable_cost_per_k*M467/1000)*M471*$B$461</f>
        <v/>
      </c>
      <c r="N472">
        <f>(fixed_payroll*N465+variable_cost_per_k*N467/1000)*N471*$B$461</f>
        <v/>
      </c>
      <c r="O472">
        <f>(fixed_payroll*O465+variable_cost_per_k*O467/1000)*O471*$B$461</f>
        <v/>
      </c>
      <c r="P472">
        <f>(fixed_payroll*P465+variable_cost_per_k*P467/1000)*P471*$B$461</f>
        <v/>
      </c>
      <c r="Q472">
        <f>(fixed_payroll*Q465+variable_cost_per_k*Q467/1000)*Q471*$B$461</f>
        <v/>
      </c>
      <c r="R472">
        <f>(fixed_payroll*R465+variable_cost_per_k*R467/1000)*R471*$B$461</f>
        <v/>
      </c>
    </row>
    <row r="473">
      <c r="A473" t="inlineStr">
        <is>
          <t>Rent</t>
        </is>
      </c>
      <c r="C473">
        <f>$B$456*(1+IF(C464&gt;=6,rent_review_uplift,0))*C465*$B$460</f>
        <v/>
      </c>
      <c r="D473">
        <f>$B$456*(1+IF(D464&gt;=6,rent_review_uplift,0))*D465*$B$460</f>
        <v/>
      </c>
      <c r="E473">
        <f>$B$456*(1+IF(E464&gt;=6,rent_review_uplift,0))*E465*$B$460</f>
        <v/>
      </c>
      <c r="F473">
        <f>$B$456*(1+IF(F464&gt;=6,rent_review_uplift,0))*F465*$B$460</f>
        <v/>
      </c>
      <c r="G473">
        <f>$B$456*(1+IF(G464&gt;=6,rent_review_uplift,0))*G465*$B$460</f>
        <v/>
      </c>
      <c r="H473">
        <f>$B$456*(1+IF(H464&gt;=6,rent_review_uplift,0))*H465*$B$460</f>
        <v/>
      </c>
      <c r="I473">
        <f>$B$456*(1+IF(I464&gt;=6,rent_review_uplift,0))*I465*$B$460</f>
        <v/>
      </c>
      <c r="J473">
        <f>$B$456*(1+IF(J464&gt;=6,rent_review_uplift,0))*J465*$B$460</f>
        <v/>
      </c>
      <c r="K473">
        <f>$B$456*(1+IF(K464&gt;=6,rent_review_uplift,0))*K465*$B$460</f>
        <v/>
      </c>
      <c r="L473">
        <f>$B$456*(1+IF(L464&gt;=6,rent_review_uplift,0))*L465*$B$460</f>
        <v/>
      </c>
      <c r="M473">
        <f>$B$456*(1+IF(M464&gt;=6,rent_review_uplift,0))*M465*$B$460</f>
        <v/>
      </c>
      <c r="N473">
        <f>$B$456*(1+IF(N464&gt;=6,rent_review_uplift,0))*N465*$B$460</f>
        <v/>
      </c>
      <c r="O473">
        <f>$B$456*(1+IF(O464&gt;=6,rent_review_uplift,0))*O465*$B$460</f>
        <v/>
      </c>
      <c r="P473">
        <f>$B$456*(1+IF(P464&gt;=6,rent_review_uplift,0))*P465*$B$460</f>
        <v/>
      </c>
      <c r="Q473">
        <f>$B$456*(1+IF(Q464&gt;=6,rent_review_uplift,0))*Q465*$B$460</f>
        <v/>
      </c>
      <c r="R473">
        <f>$B$456*(1+IF(R464&gt;=6,rent_review_uplift,0))*R465*$B$460</f>
        <v/>
      </c>
    </row>
    <row r="474">
      <c r="A474" t="inlineStr">
        <is>
          <t>Cost index</t>
        </is>
      </c>
      <c r="C474">
        <f>IF(C465=1,(1+cost_inflation)^(C464-1),0)</f>
        <v/>
      </c>
      <c r="D474">
        <f>IF(D465=1,(1+cost_inflation)^(D464-1),0)</f>
        <v/>
      </c>
      <c r="E474">
        <f>IF(E465=1,(1+cost_inflation)^(E464-1),0)</f>
        <v/>
      </c>
      <c r="F474">
        <f>IF(F465=1,(1+cost_inflation)^(F464-1),0)</f>
        <v/>
      </c>
      <c r="G474">
        <f>IF(G465=1,(1+cost_inflation)^(G464-1),0)</f>
        <v/>
      </c>
      <c r="H474">
        <f>IF(H465=1,(1+cost_inflation)^(H464-1),0)</f>
        <v/>
      </c>
      <c r="I474">
        <f>IF(I465=1,(1+cost_inflation)^(I464-1),0)</f>
        <v/>
      </c>
      <c r="J474">
        <f>IF(J465=1,(1+cost_inflation)^(J464-1),0)</f>
        <v/>
      </c>
      <c r="K474">
        <f>IF(K465=1,(1+cost_inflation)^(K464-1),0)</f>
        <v/>
      </c>
      <c r="L474">
        <f>IF(L465=1,(1+cost_inflation)^(L464-1),0)</f>
        <v/>
      </c>
      <c r="M474">
        <f>IF(M465=1,(1+cost_inflation)^(M464-1),0)</f>
        <v/>
      </c>
      <c r="N474">
        <f>IF(N465=1,(1+cost_inflation)^(N464-1),0)</f>
        <v/>
      </c>
      <c r="O474">
        <f>IF(O465=1,(1+cost_inflation)^(O464-1),0)</f>
        <v/>
      </c>
      <c r="P474">
        <f>IF(P465=1,(1+cost_inflation)^(P464-1),0)</f>
        <v/>
      </c>
      <c r="Q474">
        <f>IF(Q465=1,(1+cost_inflation)^(Q464-1),0)</f>
        <v/>
      </c>
      <c r="R474">
        <f>IF(R465=1,(1+cost_inflation)^(R464-1),0)</f>
        <v/>
      </c>
    </row>
    <row r="475">
      <c r="A475" t="inlineStr">
        <is>
          <t>Business rates</t>
        </is>
      </c>
      <c r="C475">
        <f>rateable_value*IF(rateable_value&lt;51000,rates_multiplier_rhl_small,IF(rateable_value&lt;500000,rates_multiplier_rhl_standard,rates_multiplier_high_value))*C474</f>
        <v/>
      </c>
      <c r="D475">
        <f>rateable_value*IF(rateable_value&lt;51000,rates_multiplier_rhl_small,IF(rateable_value&lt;500000,rates_multiplier_rhl_standard,rates_multiplier_high_value))*D474</f>
        <v/>
      </c>
      <c r="E475">
        <f>rateable_value*IF(rateable_value&lt;51000,rates_multiplier_rhl_small,IF(rateable_value&lt;500000,rates_multiplier_rhl_standard,rates_multiplier_high_value))*E474</f>
        <v/>
      </c>
      <c r="F475">
        <f>rateable_value*IF(rateable_value&lt;51000,rates_multiplier_rhl_small,IF(rateable_value&lt;500000,rates_multiplier_rhl_standard,rates_multiplier_high_value))*F474</f>
        <v/>
      </c>
      <c r="G475">
        <f>rateable_value*IF(rateable_value&lt;51000,rates_multiplier_rhl_small,IF(rateable_value&lt;500000,rates_multiplier_rhl_standard,rates_multiplier_high_value))*G474</f>
        <v/>
      </c>
      <c r="H475">
        <f>rateable_value*IF(rateable_value&lt;51000,rates_multiplier_rhl_small,IF(rateable_value&lt;500000,rates_multiplier_rhl_standard,rates_multiplier_high_value))*H474</f>
        <v/>
      </c>
      <c r="I475">
        <f>rateable_value*IF(rateable_value&lt;51000,rates_multiplier_rhl_small,IF(rateable_value&lt;500000,rates_multiplier_rhl_standard,rates_multiplier_high_value))*I474</f>
        <v/>
      </c>
      <c r="J475">
        <f>rateable_value*IF(rateable_value&lt;51000,rates_multiplier_rhl_small,IF(rateable_value&lt;500000,rates_multiplier_rhl_standard,rates_multiplier_high_value))*J474</f>
        <v/>
      </c>
      <c r="K475">
        <f>rateable_value*IF(rateable_value&lt;51000,rates_multiplier_rhl_small,IF(rateable_value&lt;500000,rates_multiplier_rhl_standard,rates_multiplier_high_value))*K474</f>
        <v/>
      </c>
      <c r="L475">
        <f>rateable_value*IF(rateable_value&lt;51000,rates_multiplier_rhl_small,IF(rateable_value&lt;500000,rates_multiplier_rhl_standard,rates_multiplier_high_value))*L474</f>
        <v/>
      </c>
      <c r="M475">
        <f>rateable_value*IF(rateable_value&lt;51000,rates_multiplier_rhl_small,IF(rateable_value&lt;500000,rates_multiplier_rhl_standard,rates_multiplier_high_value))*M474</f>
        <v/>
      </c>
      <c r="N475">
        <f>rateable_value*IF(rateable_value&lt;51000,rates_multiplier_rhl_small,IF(rateable_value&lt;500000,rates_multiplier_rhl_standard,rates_multiplier_high_value))*N474</f>
        <v/>
      </c>
      <c r="O475">
        <f>rateable_value*IF(rateable_value&lt;51000,rates_multiplier_rhl_small,IF(rateable_value&lt;500000,rates_multiplier_rhl_standard,rates_multiplier_high_value))*O474</f>
        <v/>
      </c>
      <c r="P475">
        <f>rateable_value*IF(rateable_value&lt;51000,rates_multiplier_rhl_small,IF(rateable_value&lt;500000,rates_multiplier_rhl_standard,rates_multiplier_high_value))*P474</f>
        <v/>
      </c>
      <c r="Q475">
        <f>rateable_value*IF(rateable_value&lt;51000,rates_multiplier_rhl_small,IF(rateable_value&lt;500000,rates_multiplier_rhl_standard,rates_multiplier_high_value))*Q474</f>
        <v/>
      </c>
      <c r="R475">
        <f>rateable_value*IF(rateable_value&lt;51000,rates_multiplier_rhl_small,IF(rateable_value&lt;500000,rates_multiplier_rhl_standard,rates_multiplier_high_value))*R474</f>
        <v/>
      </c>
    </row>
    <row r="476">
      <c r="A476" t="inlineStr">
        <is>
          <t>Service charge, utilities, insurance</t>
        </is>
      </c>
      <c r="C476">
        <f>occupancy_other_psf*area_sqft*C474</f>
        <v/>
      </c>
      <c r="D476">
        <f>occupancy_other_psf*area_sqft*D474</f>
        <v/>
      </c>
      <c r="E476">
        <f>occupancy_other_psf*area_sqft*E474</f>
        <v/>
      </c>
      <c r="F476">
        <f>occupancy_other_psf*area_sqft*F474</f>
        <v/>
      </c>
      <c r="G476">
        <f>occupancy_other_psf*area_sqft*G474</f>
        <v/>
      </c>
      <c r="H476">
        <f>occupancy_other_psf*area_sqft*H474</f>
        <v/>
      </c>
      <c r="I476">
        <f>occupancy_other_psf*area_sqft*I474</f>
        <v/>
      </c>
      <c r="J476">
        <f>occupancy_other_psf*area_sqft*J474</f>
        <v/>
      </c>
      <c r="K476">
        <f>occupancy_other_psf*area_sqft*K474</f>
        <v/>
      </c>
      <c r="L476">
        <f>occupancy_other_psf*area_sqft*L474</f>
        <v/>
      </c>
      <c r="M476">
        <f>occupancy_other_psf*area_sqft*M474</f>
        <v/>
      </c>
      <c r="N476">
        <f>occupancy_other_psf*area_sqft*N474</f>
        <v/>
      </c>
      <c r="O476">
        <f>occupancy_other_psf*area_sqft*O474</f>
        <v/>
      </c>
      <c r="P476">
        <f>occupancy_other_psf*area_sqft*P474</f>
        <v/>
      </c>
      <c r="Q476">
        <f>occupancy_other_psf*area_sqft*Q474</f>
        <v/>
      </c>
      <c r="R476">
        <f>occupancy_other_psf*area_sqft*R474</f>
        <v/>
      </c>
    </row>
    <row r="477">
      <c r="A477" t="inlineStr">
        <is>
          <t>Other store opex</t>
        </is>
      </c>
      <c r="C477">
        <f>C469*other_opex_pct_sales</f>
        <v/>
      </c>
      <c r="D477">
        <f>D469*other_opex_pct_sales</f>
        <v/>
      </c>
      <c r="E477">
        <f>E469*other_opex_pct_sales</f>
        <v/>
      </c>
      <c r="F477">
        <f>F469*other_opex_pct_sales</f>
        <v/>
      </c>
      <c r="G477">
        <f>G469*other_opex_pct_sales</f>
        <v/>
      </c>
      <c r="H477">
        <f>H469*other_opex_pct_sales</f>
        <v/>
      </c>
      <c r="I477">
        <f>I469*other_opex_pct_sales</f>
        <v/>
      </c>
      <c r="J477">
        <f>J469*other_opex_pct_sales</f>
        <v/>
      </c>
      <c r="K477">
        <f>K469*other_opex_pct_sales</f>
        <v/>
      </c>
      <c r="L477">
        <f>L469*other_opex_pct_sales</f>
        <v/>
      </c>
      <c r="M477">
        <f>M469*other_opex_pct_sales</f>
        <v/>
      </c>
      <c r="N477">
        <f>N469*other_opex_pct_sales</f>
        <v/>
      </c>
      <c r="O477">
        <f>O469*other_opex_pct_sales</f>
        <v/>
      </c>
      <c r="P477">
        <f>P469*other_opex_pct_sales</f>
        <v/>
      </c>
      <c r="Q477">
        <f>Q469*other_opex_pct_sales</f>
        <v/>
      </c>
      <c r="R477">
        <f>R469*other_opex_pct_sales</f>
        <v/>
      </c>
    </row>
    <row r="478">
      <c r="A478" t="inlineStr">
        <is>
          <t>Store EBITDA (4-wall)</t>
        </is>
      </c>
      <c r="C478">
        <f>C470-C472-C473-C475-C476-C477</f>
        <v/>
      </c>
      <c r="D478">
        <f>D470-D472-D473-D475-D476-D477</f>
        <v/>
      </c>
      <c r="E478">
        <f>E470-E472-E473-E475-E476-E477</f>
        <v/>
      </c>
      <c r="F478">
        <f>F470-F472-F473-F475-F476-F477</f>
        <v/>
      </c>
      <c r="G478">
        <f>G470-G472-G473-G475-G476-G477</f>
        <v/>
      </c>
      <c r="H478">
        <f>H470-H472-H473-H475-H476-H477</f>
        <v/>
      </c>
      <c r="I478">
        <f>I470-I472-I473-I475-I476-I477</f>
        <v/>
      </c>
      <c r="J478">
        <f>J470-J472-J473-J475-J476-J477</f>
        <v/>
      </c>
      <c r="K478">
        <f>K470-K472-K473-K475-K476-K477</f>
        <v/>
      </c>
      <c r="L478">
        <f>L470-L472-L473-L475-L476-L477</f>
        <v/>
      </c>
      <c r="M478">
        <f>M470-M472-M473-M475-M476-M477</f>
        <v/>
      </c>
      <c r="N478">
        <f>N470-N472-N473-N475-N476-N477</f>
        <v/>
      </c>
      <c r="O478">
        <f>O470-O472-O473-O475-O476-O477</f>
        <v/>
      </c>
      <c r="P478">
        <f>P470-P472-P473-P475-P476-P477</f>
        <v/>
      </c>
      <c r="Q478">
        <f>Q470-Q472-Q473-Q475-Q476-Q477</f>
        <v/>
      </c>
      <c r="R478">
        <f>R470-R472-R473-R475-R476-R477</f>
        <v/>
      </c>
    </row>
    <row r="479">
      <c r="A479" t="inlineStr">
        <is>
          <t>Pre-opening costs</t>
        </is>
      </c>
      <c r="C479">
        <f>IF(C464=0,pre_opening_costs,0)</f>
        <v/>
      </c>
      <c r="D479">
        <f>IF(D464=0,pre_opening_costs,0)</f>
        <v/>
      </c>
      <c r="E479">
        <f>IF(E464=0,pre_opening_costs,0)</f>
        <v/>
      </c>
      <c r="F479">
        <f>IF(F464=0,pre_opening_costs,0)</f>
        <v/>
      </c>
      <c r="G479">
        <f>IF(G464=0,pre_opening_costs,0)</f>
        <v/>
      </c>
      <c r="H479">
        <f>IF(H464=0,pre_opening_costs,0)</f>
        <v/>
      </c>
      <c r="I479">
        <f>IF(I464=0,pre_opening_costs,0)</f>
        <v/>
      </c>
      <c r="J479">
        <f>IF(J464=0,pre_opening_costs,0)</f>
        <v/>
      </c>
      <c r="K479">
        <f>IF(K464=0,pre_opening_costs,0)</f>
        <v/>
      </c>
      <c r="L479">
        <f>IF(L464=0,pre_opening_costs,0)</f>
        <v/>
      </c>
      <c r="M479">
        <f>IF(M464=0,pre_opening_costs,0)</f>
        <v/>
      </c>
      <c r="N479">
        <f>IF(N464=0,pre_opening_costs,0)</f>
        <v/>
      </c>
      <c r="O479">
        <f>IF(O464=0,pre_opening_costs,0)</f>
        <v/>
      </c>
      <c r="P479">
        <f>IF(P464=0,pre_opening_costs,0)</f>
        <v/>
      </c>
      <c r="Q479">
        <f>IF(Q464=0,pre_opening_costs,0)</f>
        <v/>
      </c>
      <c r="R479">
        <f>IF(R464=0,pre_opening_costs,0)</f>
        <v/>
      </c>
    </row>
    <row r="480">
      <c r="A480" t="inlineStr">
        <is>
          <t>Fit-out capex</t>
        </is>
      </c>
      <c r="C480">
        <f>IF(C464=0,$B$457,0)</f>
        <v/>
      </c>
      <c r="D480">
        <f>IF(D464=0,$B$457,0)</f>
        <v/>
      </c>
      <c r="E480">
        <f>IF(E464=0,$B$457,0)</f>
        <v/>
      </c>
      <c r="F480">
        <f>IF(F464=0,$B$457,0)</f>
        <v/>
      </c>
      <c r="G480">
        <f>IF(G464=0,$B$457,0)</f>
        <v/>
      </c>
      <c r="H480">
        <f>IF(H464=0,$B$457,0)</f>
        <v/>
      </c>
      <c r="I480">
        <f>IF(I464=0,$B$457,0)</f>
        <v/>
      </c>
      <c r="J480">
        <f>IF(J464=0,$B$457,0)</f>
        <v/>
      </c>
      <c r="K480">
        <f>IF(K464=0,$B$457,0)</f>
        <v/>
      </c>
      <c r="L480">
        <f>IF(L464=0,$B$457,0)</f>
        <v/>
      </c>
      <c r="M480">
        <f>IF(M464=0,$B$457,0)</f>
        <v/>
      </c>
      <c r="N480">
        <f>IF(N464=0,$B$457,0)</f>
        <v/>
      </c>
      <c r="O480">
        <f>IF(O464=0,$B$457,0)</f>
        <v/>
      </c>
      <c r="P480">
        <f>IF(P464=0,$B$457,0)</f>
        <v/>
      </c>
      <c r="Q480">
        <f>IF(Q464=0,$B$457,0)</f>
        <v/>
      </c>
      <c r="R480">
        <f>IF(R464=0,$B$457,0)</f>
        <v/>
      </c>
    </row>
    <row r="481">
      <c r="A481" t="inlineStr">
        <is>
          <t>Tax depreciation</t>
        </is>
      </c>
      <c r="C481">
        <f>IF(AND(C464&gt;=1,C464&lt;=tax_depreciation_years,C464&lt;=lease_term_years),$B$457/tax_depreciation_years,0)</f>
        <v/>
      </c>
      <c r="D481">
        <f>IF(AND(D464&gt;=1,D464&lt;=tax_depreciation_years,D464&lt;=lease_term_years),$B$457/tax_depreciation_years,0)</f>
        <v/>
      </c>
      <c r="E481">
        <f>IF(AND(E464&gt;=1,E464&lt;=tax_depreciation_years,E464&lt;=lease_term_years),$B$457/tax_depreciation_years,0)</f>
        <v/>
      </c>
      <c r="F481">
        <f>IF(AND(F464&gt;=1,F464&lt;=tax_depreciation_years,F464&lt;=lease_term_years),$B$457/tax_depreciation_years,0)</f>
        <v/>
      </c>
      <c r="G481">
        <f>IF(AND(G464&gt;=1,G464&lt;=tax_depreciation_years,G464&lt;=lease_term_years),$B$457/tax_depreciation_years,0)</f>
        <v/>
      </c>
      <c r="H481">
        <f>IF(AND(H464&gt;=1,H464&lt;=tax_depreciation_years,H464&lt;=lease_term_years),$B$457/tax_depreciation_years,0)</f>
        <v/>
      </c>
      <c r="I481">
        <f>IF(AND(I464&gt;=1,I464&lt;=tax_depreciation_years,I464&lt;=lease_term_years),$B$457/tax_depreciation_years,0)</f>
        <v/>
      </c>
      <c r="J481">
        <f>IF(AND(J464&gt;=1,J464&lt;=tax_depreciation_years,J464&lt;=lease_term_years),$B$457/tax_depreciation_years,0)</f>
        <v/>
      </c>
      <c r="K481">
        <f>IF(AND(K464&gt;=1,K464&lt;=tax_depreciation_years,K464&lt;=lease_term_years),$B$457/tax_depreciation_years,0)</f>
        <v/>
      </c>
      <c r="L481">
        <f>IF(AND(L464&gt;=1,L464&lt;=tax_depreciation_years,L464&lt;=lease_term_years),$B$457/tax_depreciation_years,0)</f>
        <v/>
      </c>
      <c r="M481">
        <f>IF(AND(M464&gt;=1,M464&lt;=tax_depreciation_years,M464&lt;=lease_term_years),$B$457/tax_depreciation_years,0)</f>
        <v/>
      </c>
      <c r="N481">
        <f>IF(AND(N464&gt;=1,N464&lt;=tax_depreciation_years,N464&lt;=lease_term_years),$B$457/tax_depreciation_years,0)</f>
        <v/>
      </c>
      <c r="O481">
        <f>IF(AND(O464&gt;=1,O464&lt;=tax_depreciation_years,O464&lt;=lease_term_years),$B$457/tax_depreciation_years,0)</f>
        <v/>
      </c>
      <c r="P481">
        <f>IF(AND(P464&gt;=1,P464&lt;=tax_depreciation_years,P464&lt;=lease_term_years),$B$457/tax_depreciation_years,0)</f>
        <v/>
      </c>
      <c r="Q481">
        <f>IF(AND(Q464&gt;=1,Q464&lt;=tax_depreciation_years,Q464&lt;=lease_term_years),$B$457/tax_depreciation_years,0)</f>
        <v/>
      </c>
      <c r="R481">
        <f>IF(AND(R464&gt;=1,R464&lt;=tax_depreciation_years,R464&lt;=lease_term_years),$B$457/tax_depreciation_years,0)</f>
        <v/>
      </c>
    </row>
    <row r="482">
      <c r="A482" t="inlineStr">
        <is>
          <t>Dilapidations</t>
        </is>
      </c>
      <c r="C482">
        <f>IF(C464=lease_term_years,dilapidations_at_exit,0)</f>
        <v/>
      </c>
      <c r="D482">
        <f>IF(D464=lease_term_years,dilapidations_at_exit,0)</f>
        <v/>
      </c>
      <c r="E482">
        <f>IF(E464=lease_term_years,dilapidations_at_exit,0)</f>
        <v/>
      </c>
      <c r="F482">
        <f>IF(F464=lease_term_years,dilapidations_at_exit,0)</f>
        <v/>
      </c>
      <c r="G482">
        <f>IF(G464=lease_term_years,dilapidations_at_exit,0)</f>
        <v/>
      </c>
      <c r="H482">
        <f>IF(H464=lease_term_years,dilapidations_at_exit,0)</f>
        <v/>
      </c>
      <c r="I482">
        <f>IF(I464=lease_term_years,dilapidations_at_exit,0)</f>
        <v/>
      </c>
      <c r="J482">
        <f>IF(J464=lease_term_years,dilapidations_at_exit,0)</f>
        <v/>
      </c>
      <c r="K482">
        <f>IF(K464=lease_term_years,dilapidations_at_exit,0)</f>
        <v/>
      </c>
      <c r="L482">
        <f>IF(L464=lease_term_years,dilapidations_at_exit,0)</f>
        <v/>
      </c>
      <c r="M482">
        <f>IF(M464=lease_term_years,dilapidations_at_exit,0)</f>
        <v/>
      </c>
      <c r="N482">
        <f>IF(N464=lease_term_years,dilapidations_at_exit,0)</f>
        <v/>
      </c>
      <c r="O482">
        <f>IF(O464=lease_term_years,dilapidations_at_exit,0)</f>
        <v/>
      </c>
      <c r="P482">
        <f>IF(P464=lease_term_years,dilapidations_at_exit,0)</f>
        <v/>
      </c>
      <c r="Q482">
        <f>IF(Q464=lease_term_years,dilapidations_at_exit,0)</f>
        <v/>
      </c>
      <c r="R482">
        <f>IF(R464=lease_term_years,dilapidations_at_exit,0)</f>
        <v/>
      </c>
    </row>
    <row r="483">
      <c r="A483" t="inlineStr">
        <is>
          <t>Taxable profit</t>
        </is>
      </c>
      <c r="C483">
        <f>C478-C479-C481-C482</f>
        <v/>
      </c>
      <c r="D483">
        <f>D478-D479-D481-D482</f>
        <v/>
      </c>
      <c r="E483">
        <f>E478-E479-E481-E482</f>
        <v/>
      </c>
      <c r="F483">
        <f>F478-F479-F481-F482</f>
        <v/>
      </c>
      <c r="G483">
        <f>G478-G479-G481-G482</f>
        <v/>
      </c>
      <c r="H483">
        <f>H478-H479-H481-H482</f>
        <v/>
      </c>
      <c r="I483">
        <f>I478-I479-I481-I482</f>
        <v/>
      </c>
      <c r="J483">
        <f>J478-J479-J481-J482</f>
        <v/>
      </c>
      <c r="K483">
        <f>K478-K479-K481-K482</f>
        <v/>
      </c>
      <c r="L483">
        <f>L478-L479-L481-L482</f>
        <v/>
      </c>
      <c r="M483">
        <f>M478-M479-M481-M482</f>
        <v/>
      </c>
      <c r="N483">
        <f>N478-N479-N481-N482</f>
        <v/>
      </c>
      <c r="O483">
        <f>O478-O479-O481-O482</f>
        <v/>
      </c>
      <c r="P483">
        <f>P478-P479-P481-P482</f>
        <v/>
      </c>
      <c r="Q483">
        <f>Q478-Q479-Q481-Q482</f>
        <v/>
      </c>
      <c r="R483">
        <f>R478-R479-R481-R482</f>
        <v/>
      </c>
    </row>
    <row r="484">
      <c r="A484" t="inlineStr">
        <is>
          <t>Tax (negative = group relief)</t>
        </is>
      </c>
      <c r="C484">
        <f>C483*tax_rate</f>
        <v/>
      </c>
      <c r="D484">
        <f>D483*tax_rate</f>
        <v/>
      </c>
      <c r="E484">
        <f>E483*tax_rate</f>
        <v/>
      </c>
      <c r="F484">
        <f>F483*tax_rate</f>
        <v/>
      </c>
      <c r="G484">
        <f>G483*tax_rate</f>
        <v/>
      </c>
      <c r="H484">
        <f>H483*tax_rate</f>
        <v/>
      </c>
      <c r="I484">
        <f>I483*tax_rate</f>
        <v/>
      </c>
      <c r="J484">
        <f>J483*tax_rate</f>
        <v/>
      </c>
      <c r="K484">
        <f>K483*tax_rate</f>
        <v/>
      </c>
      <c r="L484">
        <f>L483*tax_rate</f>
        <v/>
      </c>
      <c r="M484">
        <f>M483*tax_rate</f>
        <v/>
      </c>
      <c r="N484">
        <f>N483*tax_rate</f>
        <v/>
      </c>
      <c r="O484">
        <f>O483*tax_rate</f>
        <v/>
      </c>
      <c r="P484">
        <f>P483*tax_rate</f>
        <v/>
      </c>
      <c r="Q484">
        <f>Q483*tax_rate</f>
        <v/>
      </c>
      <c r="R484">
        <f>R483*tax_rate</f>
        <v/>
      </c>
    </row>
    <row r="485">
      <c r="A485" t="inlineStr">
        <is>
          <t>Stock held</t>
        </is>
      </c>
      <c r="C485">
        <f>IF(C464&lt;lease_term_years,stock_pct_sales*D469,0)</f>
        <v/>
      </c>
      <c r="D485">
        <f>IF(D464&lt;lease_term_years,stock_pct_sales*E469,0)</f>
        <v/>
      </c>
      <c r="E485">
        <f>IF(E464&lt;lease_term_years,stock_pct_sales*F469,0)</f>
        <v/>
      </c>
      <c r="F485">
        <f>IF(F464&lt;lease_term_years,stock_pct_sales*G469,0)</f>
        <v/>
      </c>
      <c r="G485">
        <f>IF(G464&lt;lease_term_years,stock_pct_sales*H469,0)</f>
        <v/>
      </c>
      <c r="H485">
        <f>IF(H464&lt;lease_term_years,stock_pct_sales*I469,0)</f>
        <v/>
      </c>
      <c r="I485">
        <f>IF(I464&lt;lease_term_years,stock_pct_sales*J469,0)</f>
        <v/>
      </c>
      <c r="J485">
        <f>IF(J464&lt;lease_term_years,stock_pct_sales*K469,0)</f>
        <v/>
      </c>
      <c r="K485">
        <f>IF(K464&lt;lease_term_years,stock_pct_sales*L469,0)</f>
        <v/>
      </c>
      <c r="L485">
        <f>IF(L464&lt;lease_term_years,stock_pct_sales*M469,0)</f>
        <v/>
      </c>
      <c r="M485">
        <f>IF(M464&lt;lease_term_years,stock_pct_sales*N469,0)</f>
        <v/>
      </c>
      <c r="N485">
        <f>IF(N464&lt;lease_term_years,stock_pct_sales*O469,0)</f>
        <v/>
      </c>
      <c r="O485">
        <f>IF(O464&lt;lease_term_years,stock_pct_sales*P469,0)</f>
        <v/>
      </c>
      <c r="P485">
        <f>IF(P464&lt;lease_term_years,stock_pct_sales*Q469,0)</f>
        <v/>
      </c>
      <c r="Q485">
        <f>IF(Q464&lt;lease_term_years,stock_pct_sales*R469,0)</f>
        <v/>
      </c>
      <c r="R485">
        <f>0</f>
        <v/>
      </c>
    </row>
    <row r="486">
      <c r="A486" t="inlineStr">
        <is>
          <t>Change in stock</t>
        </is>
      </c>
      <c r="C486">
        <f>C485</f>
        <v/>
      </c>
      <c r="D486">
        <f>D485-C485</f>
        <v/>
      </c>
      <c r="E486">
        <f>E485-D485</f>
        <v/>
      </c>
      <c r="F486">
        <f>F485-E485</f>
        <v/>
      </c>
      <c r="G486">
        <f>G485-F485</f>
        <v/>
      </c>
      <c r="H486">
        <f>H485-G485</f>
        <v/>
      </c>
      <c r="I486">
        <f>I485-H485</f>
        <v/>
      </c>
      <c r="J486">
        <f>J485-I485</f>
        <v/>
      </c>
      <c r="K486">
        <f>K485-J485</f>
        <v/>
      </c>
      <c r="L486">
        <f>L485-K485</f>
        <v/>
      </c>
      <c r="M486">
        <f>M485-L485</f>
        <v/>
      </c>
      <c r="N486">
        <f>N485-M485</f>
        <v/>
      </c>
      <c r="O486">
        <f>O485-N485</f>
        <v/>
      </c>
      <c r="P486">
        <f>P485-O485</f>
        <v/>
      </c>
      <c r="Q486">
        <f>Q485-P485</f>
        <v/>
      </c>
      <c r="R486">
        <f>R485-Q485</f>
        <v/>
      </c>
    </row>
    <row r="487">
      <c r="A487" t="inlineStr">
        <is>
          <t>Free cash flow</t>
        </is>
      </c>
      <c r="C487">
        <f>C478-C479-C484-C480-C486-C482</f>
        <v/>
      </c>
      <c r="D487">
        <f>D478-D479-D484-D480-D486-D482</f>
        <v/>
      </c>
      <c r="E487">
        <f>E478-E479-E484-E480-E486-E482</f>
        <v/>
      </c>
      <c r="F487">
        <f>F478-F479-F484-F480-F486-F482</f>
        <v/>
      </c>
      <c r="G487">
        <f>G478-G479-G484-G480-G486-G482</f>
        <v/>
      </c>
      <c r="H487">
        <f>H478-H479-H484-H480-H486-H482</f>
        <v/>
      </c>
      <c r="I487">
        <f>I478-I479-I484-I480-I486-I482</f>
        <v/>
      </c>
      <c r="J487">
        <f>J478-J479-J484-J480-J486-J482</f>
        <v/>
      </c>
      <c r="K487">
        <f>K478-K479-K484-K480-K486-K482</f>
        <v/>
      </c>
      <c r="L487">
        <f>L478-L479-L484-L480-L486-L482</f>
        <v/>
      </c>
      <c r="M487">
        <f>M478-M479-M484-M480-M486-M482</f>
        <v/>
      </c>
      <c r="N487">
        <f>N478-N479-N484-N480-N486-N482</f>
        <v/>
      </c>
      <c r="O487">
        <f>O478-O479-O484-O480-O486-O482</f>
        <v/>
      </c>
      <c r="P487">
        <f>P478-P479-P484-P480-P486-P482</f>
        <v/>
      </c>
      <c r="Q487">
        <f>Q478-Q479-Q484-Q480-Q486-Q482</f>
        <v/>
      </c>
      <c r="R487">
        <f>R478-R479-R484-R480-R486-R482</f>
        <v/>
      </c>
    </row>
    <row r="488">
      <c r="A488" t="inlineStr">
        <is>
          <t>Discount factor</t>
        </is>
      </c>
      <c r="C488">
        <f>1/(1+discount_rate)^C464</f>
        <v/>
      </c>
      <c r="D488">
        <f>1/(1+discount_rate)^D464</f>
        <v/>
      </c>
      <c r="E488">
        <f>1/(1+discount_rate)^E464</f>
        <v/>
      </c>
      <c r="F488">
        <f>1/(1+discount_rate)^F464</f>
        <v/>
      </c>
      <c r="G488">
        <f>1/(1+discount_rate)^G464</f>
        <v/>
      </c>
      <c r="H488">
        <f>1/(1+discount_rate)^H464</f>
        <v/>
      </c>
      <c r="I488">
        <f>1/(1+discount_rate)^I464</f>
        <v/>
      </c>
      <c r="J488">
        <f>1/(1+discount_rate)^J464</f>
        <v/>
      </c>
      <c r="K488">
        <f>1/(1+discount_rate)^K464</f>
        <v/>
      </c>
      <c r="L488">
        <f>1/(1+discount_rate)^L464</f>
        <v/>
      </c>
      <c r="M488">
        <f>1/(1+discount_rate)^M464</f>
        <v/>
      </c>
      <c r="N488">
        <f>1/(1+discount_rate)^N464</f>
        <v/>
      </c>
      <c r="O488">
        <f>1/(1+discount_rate)^O464</f>
        <v/>
      </c>
      <c r="P488">
        <f>1/(1+discount_rate)^P464</f>
        <v/>
      </c>
      <c r="Q488">
        <f>1/(1+discount_rate)^Q464</f>
        <v/>
      </c>
      <c r="R488">
        <f>1/(1+discount_rate)^R464</f>
        <v/>
      </c>
    </row>
    <row r="489">
      <c r="A489" t="inlineStr">
        <is>
          <t>Present value</t>
        </is>
      </c>
      <c r="C489">
        <f>C487*C488</f>
        <v/>
      </c>
      <c r="D489">
        <f>D487*D488</f>
        <v/>
      </c>
      <c r="E489">
        <f>E487*E488</f>
        <v/>
      </c>
      <c r="F489">
        <f>F487*F488</f>
        <v/>
      </c>
      <c r="G489">
        <f>G487*G488</f>
        <v/>
      </c>
      <c r="H489">
        <f>H487*H488</f>
        <v/>
      </c>
      <c r="I489">
        <f>I487*I488</f>
        <v/>
      </c>
      <c r="J489">
        <f>J487*J488</f>
        <v/>
      </c>
      <c r="K489">
        <f>K487*K488</f>
        <v/>
      </c>
      <c r="L489">
        <f>L487*L488</f>
        <v/>
      </c>
      <c r="M489">
        <f>M487*M488</f>
        <v/>
      </c>
      <c r="N489">
        <f>N487*N488</f>
        <v/>
      </c>
      <c r="O489">
        <f>O487*O488</f>
        <v/>
      </c>
      <c r="P489">
        <f>P487*P488</f>
        <v/>
      </c>
      <c r="Q489">
        <f>Q487*Q488</f>
        <v/>
      </c>
      <c r="R489">
        <f>R487*R488</f>
        <v/>
      </c>
    </row>
    <row r="490">
      <c r="A490" t="inlineStr">
        <is>
          <t>Cumulative cash flow</t>
        </is>
      </c>
      <c r="C490">
        <f>C487</f>
        <v/>
      </c>
      <c r="D490">
        <f>C490+D487</f>
        <v/>
      </c>
      <c r="E490">
        <f>D490+E487</f>
        <v/>
      </c>
      <c r="F490">
        <f>E490+F487</f>
        <v/>
      </c>
      <c r="G490">
        <f>F490+G487</f>
        <v/>
      </c>
      <c r="H490">
        <f>G490+H487</f>
        <v/>
      </c>
      <c r="I490">
        <f>H490+I487</f>
        <v/>
      </c>
      <c r="J490">
        <f>I490+J487</f>
        <v/>
      </c>
      <c r="K490">
        <f>J490+K487</f>
        <v/>
      </c>
      <c r="L490">
        <f>K490+L487</f>
        <v/>
      </c>
      <c r="M490">
        <f>L490+M487</f>
        <v/>
      </c>
      <c r="N490">
        <f>M490+N487</f>
        <v/>
      </c>
      <c r="O490">
        <f>N490+O487</f>
        <v/>
      </c>
      <c r="P490">
        <f>O490+P487</f>
        <v/>
      </c>
      <c r="Q490">
        <f>P490+Q487</f>
        <v/>
      </c>
      <c r="R490">
        <f>Q490+R487</f>
        <v/>
      </c>
    </row>
    <row r="491">
      <c r="A491" t="inlineStr">
        <is>
          <t>Payback helper (months)</t>
        </is>
      </c>
      <c r="C491">
        <f>0</f>
        <v/>
      </c>
      <c r="D491">
        <f>IF(AND(C490&lt;0,D490&gt;=0),(D464-1+(-C490)/D487)*12,0)</f>
        <v/>
      </c>
      <c r="E491">
        <f>IF(AND(D490&lt;0,E490&gt;=0),(E464-1+(-D490)/E487)*12,0)</f>
        <v/>
      </c>
      <c r="F491">
        <f>IF(AND(E490&lt;0,F490&gt;=0),(F464-1+(-E490)/F487)*12,0)</f>
        <v/>
      </c>
      <c r="G491">
        <f>IF(AND(F490&lt;0,G490&gt;=0),(G464-1+(-F490)/G487)*12,0)</f>
        <v/>
      </c>
      <c r="H491">
        <f>IF(AND(G490&lt;0,H490&gt;=0),(H464-1+(-G490)/H487)*12,0)</f>
        <v/>
      </c>
      <c r="I491">
        <f>IF(AND(H490&lt;0,I490&gt;=0),(I464-1+(-H490)/I487)*12,0)</f>
        <v/>
      </c>
      <c r="J491">
        <f>IF(AND(I490&lt;0,J490&gt;=0),(J464-1+(-I490)/J487)*12,0)</f>
        <v/>
      </c>
      <c r="K491">
        <f>IF(AND(J490&lt;0,K490&gt;=0),(K464-1+(-J490)/K487)*12,0)</f>
        <v/>
      </c>
      <c r="L491">
        <f>IF(AND(K490&lt;0,L490&gt;=0),(L464-1+(-K490)/L487)*12,0)</f>
        <v/>
      </c>
      <c r="M491">
        <f>IF(AND(L490&lt;0,M490&gt;=0),(M464-1+(-L490)/M487)*12,0)</f>
        <v/>
      </c>
      <c r="N491">
        <f>IF(AND(M490&lt;0,N490&gt;=0),(N464-1+(-M490)/N487)*12,0)</f>
        <v/>
      </c>
      <c r="O491">
        <f>IF(AND(N490&lt;0,O490&gt;=0),(O464-1+(-N490)/O487)*12,0)</f>
        <v/>
      </c>
      <c r="P491">
        <f>IF(AND(O490&lt;0,P490&gt;=0),(P464-1+(-O490)/P487)*12,0)</f>
        <v/>
      </c>
      <c r="Q491">
        <f>IF(AND(P490&lt;0,Q490&gt;=0),(Q464-1+(-P490)/Q487)*12,0)</f>
        <v/>
      </c>
      <c r="R491">
        <f>IF(AND(Q490&lt;0,R490&gt;=0),(R464-1+(-Q490)/R487)*12,0)</f>
        <v/>
      </c>
    </row>
    <row r="493">
      <c r="A493" s="10" t="inlineStr">
        <is>
          <t>npv</t>
        </is>
      </c>
      <c r="B493" s="8">
        <f>SUM($C$489:$R$489)</f>
        <v/>
      </c>
    </row>
    <row r="494">
      <c r="A494" s="10" t="inlineStr">
        <is>
          <t>irr</t>
        </is>
      </c>
      <c r="B494" s="6">
        <f>IRR($C$487:$R$487)</f>
        <v/>
      </c>
    </row>
    <row r="495">
      <c r="A495" s="10" t="inlineStr">
        <is>
          <t>payback_months</t>
        </is>
      </c>
      <c r="B495" s="9">
        <f>IF(SUM($C$491:$R$491)=0,"n/a",SUM($C$491:$R$491))</f>
        <v/>
      </c>
    </row>
    <row r="498">
      <c r="A498" s="10" t="inlineStr">
        <is>
          <t>Tornado: payroll low (-20%)</t>
        </is>
      </c>
    </row>
    <row r="499">
      <c r="A499" t="inlineStr">
        <is>
          <t>param: density</t>
        </is>
      </c>
      <c r="B499">
        <f>mature_sales_density</f>
        <v/>
      </c>
    </row>
    <row r="500">
      <c r="A500" t="inlineStr">
        <is>
          <t>param: gm</t>
        </is>
      </c>
      <c r="B500">
        <f>product_gross_margin</f>
        <v/>
      </c>
    </row>
    <row r="501">
      <c r="A501" t="inlineStr">
        <is>
          <t>param: rent</t>
        </is>
      </c>
      <c r="B501">
        <f>rent_per_year</f>
        <v/>
      </c>
    </row>
    <row r="502">
      <c r="A502" t="inlineStr">
        <is>
          <t>param: capex</t>
        </is>
      </c>
      <c r="B502">
        <f>fitout_capex</f>
        <v/>
      </c>
    </row>
    <row r="503">
      <c r="A503" t="inlineStr">
        <is>
          <t>param: ramp1</t>
        </is>
      </c>
      <c r="B503">
        <f>ramp_year1</f>
        <v/>
      </c>
    </row>
    <row r="504">
      <c r="A504" t="inlineStr">
        <is>
          <t>param: ramp2</t>
        </is>
      </c>
      <c r="B504">
        <f>ramp_year2</f>
        <v/>
      </c>
    </row>
    <row r="505">
      <c r="A505" t="inlineStr">
        <is>
          <t>param: rent_mult</t>
        </is>
      </c>
      <c r="B505" t="n">
        <v>1</v>
      </c>
    </row>
    <row r="506">
      <c r="A506" t="inlineStr">
        <is>
          <t>param: payroll_mult</t>
        </is>
      </c>
      <c r="B506" t="n">
        <v>0.8</v>
      </c>
    </row>
    <row r="507">
      <c r="A507" t="inlineStr">
        <is>
          <t>param: ramp_mult</t>
        </is>
      </c>
      <c r="B507" t="n">
        <v>1</v>
      </c>
    </row>
    <row r="509">
      <c r="A509" t="inlineStr">
        <is>
          <t>Year</t>
        </is>
      </c>
      <c r="C509" t="n">
        <v>0</v>
      </c>
      <c r="D509" t="n">
        <v>1</v>
      </c>
      <c r="E509" t="n">
        <v>2</v>
      </c>
      <c r="F509" t="n">
        <v>3</v>
      </c>
      <c r="G509" t="n">
        <v>4</v>
      </c>
      <c r="H509" t="n">
        <v>5</v>
      </c>
      <c r="I509" t="n">
        <v>6</v>
      </c>
      <c r="J509" t="n">
        <v>7</v>
      </c>
      <c r="K509" t="n">
        <v>8</v>
      </c>
      <c r="L509" t="n">
        <v>9</v>
      </c>
      <c r="M509" t="n">
        <v>10</v>
      </c>
      <c r="N509" t="n">
        <v>11</v>
      </c>
      <c r="O509" t="n">
        <v>12</v>
      </c>
      <c r="P509" t="n">
        <v>13</v>
      </c>
      <c r="Q509" t="n">
        <v>14</v>
      </c>
      <c r="R509" t="n">
        <v>15</v>
      </c>
    </row>
    <row r="510">
      <c r="A510" t="inlineStr">
        <is>
          <t>Trading year flag</t>
        </is>
      </c>
      <c r="C510">
        <f>IF(AND(C509&gt;=1,C509&lt;=lease_term_years),1,0)</f>
        <v/>
      </c>
      <c r="D510">
        <f>IF(AND(D509&gt;=1,D509&lt;=lease_term_years),1,0)</f>
        <v/>
      </c>
      <c r="E510">
        <f>IF(AND(E509&gt;=1,E509&lt;=lease_term_years),1,0)</f>
        <v/>
      </c>
      <c r="F510">
        <f>IF(AND(F509&gt;=1,F509&lt;=lease_term_years),1,0)</f>
        <v/>
      </c>
      <c r="G510">
        <f>IF(AND(G509&gt;=1,G509&lt;=lease_term_years),1,0)</f>
        <v/>
      </c>
      <c r="H510">
        <f>IF(AND(H509&gt;=1,H509&lt;=lease_term_years),1,0)</f>
        <v/>
      </c>
      <c r="I510">
        <f>IF(AND(I509&gt;=1,I509&lt;=lease_term_years),1,0)</f>
        <v/>
      </c>
      <c r="J510">
        <f>IF(AND(J509&gt;=1,J509&lt;=lease_term_years),1,0)</f>
        <v/>
      </c>
      <c r="K510">
        <f>IF(AND(K509&gt;=1,K509&lt;=lease_term_years),1,0)</f>
        <v/>
      </c>
      <c r="L510">
        <f>IF(AND(L509&gt;=1,L509&lt;=lease_term_years),1,0)</f>
        <v/>
      </c>
      <c r="M510">
        <f>IF(AND(M509&gt;=1,M509&lt;=lease_term_years),1,0)</f>
        <v/>
      </c>
      <c r="N510">
        <f>IF(AND(N509&gt;=1,N509&lt;=lease_term_years),1,0)</f>
        <v/>
      </c>
      <c r="O510">
        <f>IF(AND(O509&gt;=1,O509&lt;=lease_term_years),1,0)</f>
        <v/>
      </c>
      <c r="P510">
        <f>IF(AND(P509&gt;=1,P509&lt;=lease_term_years),1,0)</f>
        <v/>
      </c>
      <c r="Q510">
        <f>IF(AND(Q509&gt;=1,Q509&lt;=lease_term_years),1,0)</f>
        <v/>
      </c>
      <c r="R510">
        <f>IF(AND(R509&gt;=1,R509&lt;=lease_term_years),1,0)</f>
        <v/>
      </c>
    </row>
    <row r="511">
      <c r="A511" t="inlineStr">
        <is>
          <t>Ramp-up (share of mature volume)</t>
        </is>
      </c>
      <c r="C511">
        <f>IF(C509=1,1-(1-$B$503)*$B$507,IF(C509=2,1-(1-$B$504)*$B$507,1))*C510</f>
        <v/>
      </c>
      <c r="D511">
        <f>IF(D509=1,1-(1-$B$503)*$B$507,IF(D509=2,1-(1-$B$504)*$B$507,1))*D510</f>
        <v/>
      </c>
      <c r="E511">
        <f>IF(E509=1,1-(1-$B$503)*$B$507,IF(E509=2,1-(1-$B$504)*$B$507,1))*E510</f>
        <v/>
      </c>
      <c r="F511">
        <f>IF(F509=1,1-(1-$B$503)*$B$507,IF(F509=2,1-(1-$B$504)*$B$507,1))*F510</f>
        <v/>
      </c>
      <c r="G511">
        <f>IF(G509=1,1-(1-$B$503)*$B$507,IF(G509=2,1-(1-$B$504)*$B$507,1))*G510</f>
        <v/>
      </c>
      <c r="H511">
        <f>IF(H509=1,1-(1-$B$503)*$B$507,IF(H509=2,1-(1-$B$504)*$B$507,1))*H510</f>
        <v/>
      </c>
      <c r="I511">
        <f>IF(I509=1,1-(1-$B$503)*$B$507,IF(I509=2,1-(1-$B$504)*$B$507,1))*I510</f>
        <v/>
      </c>
      <c r="J511">
        <f>IF(J509=1,1-(1-$B$503)*$B$507,IF(J509=2,1-(1-$B$504)*$B$507,1))*J510</f>
        <v/>
      </c>
      <c r="K511">
        <f>IF(K509=1,1-(1-$B$503)*$B$507,IF(K509=2,1-(1-$B$504)*$B$507,1))*K510</f>
        <v/>
      </c>
      <c r="L511">
        <f>IF(L509=1,1-(1-$B$503)*$B$507,IF(L509=2,1-(1-$B$504)*$B$507,1))*L510</f>
        <v/>
      </c>
      <c r="M511">
        <f>IF(M509=1,1-(1-$B$503)*$B$507,IF(M509=2,1-(1-$B$504)*$B$507,1))*M510</f>
        <v/>
      </c>
      <c r="N511">
        <f>IF(N509=1,1-(1-$B$503)*$B$507,IF(N509=2,1-(1-$B$504)*$B$507,1))*N510</f>
        <v/>
      </c>
      <c r="O511">
        <f>IF(O509=1,1-(1-$B$503)*$B$507,IF(O509=2,1-(1-$B$504)*$B$507,1))*O510</f>
        <v/>
      </c>
      <c r="P511">
        <f>IF(P509=1,1-(1-$B$503)*$B$507,IF(P509=2,1-(1-$B$504)*$B$507,1))*P510</f>
        <v/>
      </c>
      <c r="Q511">
        <f>IF(Q509=1,1-(1-$B$503)*$B$507,IF(Q509=2,1-(1-$B$504)*$B$507,1))*Q510</f>
        <v/>
      </c>
      <c r="R511">
        <f>IF(R509=1,1-(1-$B$503)*$B$507,IF(R509=2,1-(1-$B$504)*$B$507,1))*R510</f>
        <v/>
      </c>
    </row>
    <row r="512">
      <c r="A512" t="inlineStr">
        <is>
          <t>Sales volume (year-1 prices)</t>
        </is>
      </c>
      <c r="C512">
        <f>area_sqft*$B$499*C511</f>
        <v/>
      </c>
      <c r="D512">
        <f>area_sqft*$B$499*D511</f>
        <v/>
      </c>
      <c r="E512">
        <f>area_sqft*$B$499*E511</f>
        <v/>
      </c>
      <c r="F512">
        <f>area_sqft*$B$499*F511</f>
        <v/>
      </c>
      <c r="G512">
        <f>area_sqft*$B$499*G511</f>
        <v/>
      </c>
      <c r="H512">
        <f>area_sqft*$B$499*H511</f>
        <v/>
      </c>
      <c r="I512">
        <f>area_sqft*$B$499*I511</f>
        <v/>
      </c>
      <c r="J512">
        <f>area_sqft*$B$499*J511</f>
        <v/>
      </c>
      <c r="K512">
        <f>area_sqft*$B$499*K511</f>
        <v/>
      </c>
      <c r="L512">
        <f>area_sqft*$B$499*L511</f>
        <v/>
      </c>
      <c r="M512">
        <f>area_sqft*$B$499*M511</f>
        <v/>
      </c>
      <c r="N512">
        <f>area_sqft*$B$499*N511</f>
        <v/>
      </c>
      <c r="O512">
        <f>area_sqft*$B$499*O511</f>
        <v/>
      </c>
      <c r="P512">
        <f>area_sqft*$B$499*P511</f>
        <v/>
      </c>
      <c r="Q512">
        <f>area_sqft*$B$499*Q511</f>
        <v/>
      </c>
      <c r="R512">
        <f>area_sqft*$B$499*R511</f>
        <v/>
      </c>
    </row>
    <row r="513">
      <c r="A513" t="inlineStr">
        <is>
          <t>Sales growth index</t>
        </is>
      </c>
      <c r="C513">
        <f>IF(C510=1,(1+sales_growth)^(C509-1),0)</f>
        <v/>
      </c>
      <c r="D513">
        <f>IF(D510=1,(1+sales_growth)^(D509-1),0)</f>
        <v/>
      </c>
      <c r="E513">
        <f>IF(E510=1,(1+sales_growth)^(E509-1),0)</f>
        <v/>
      </c>
      <c r="F513">
        <f>IF(F510=1,(1+sales_growth)^(F509-1),0)</f>
        <v/>
      </c>
      <c r="G513">
        <f>IF(G510=1,(1+sales_growth)^(G509-1),0)</f>
        <v/>
      </c>
      <c r="H513">
        <f>IF(H510=1,(1+sales_growth)^(H509-1),0)</f>
        <v/>
      </c>
      <c r="I513">
        <f>IF(I510=1,(1+sales_growth)^(I509-1),0)</f>
        <v/>
      </c>
      <c r="J513">
        <f>IF(J510=1,(1+sales_growth)^(J509-1),0)</f>
        <v/>
      </c>
      <c r="K513">
        <f>IF(K510=1,(1+sales_growth)^(K509-1),0)</f>
        <v/>
      </c>
      <c r="L513">
        <f>IF(L510=1,(1+sales_growth)^(L509-1),0)</f>
        <v/>
      </c>
      <c r="M513">
        <f>IF(M510=1,(1+sales_growth)^(M509-1),0)</f>
        <v/>
      </c>
      <c r="N513">
        <f>IF(N510=1,(1+sales_growth)^(N509-1),0)</f>
        <v/>
      </c>
      <c r="O513">
        <f>IF(O510=1,(1+sales_growth)^(O509-1),0)</f>
        <v/>
      </c>
      <c r="P513">
        <f>IF(P510=1,(1+sales_growth)^(P509-1),0)</f>
        <v/>
      </c>
      <c r="Q513">
        <f>IF(Q510=1,(1+sales_growth)^(Q509-1),0)</f>
        <v/>
      </c>
      <c r="R513">
        <f>IF(R510=1,(1+sales_growth)^(R509-1),0)</f>
        <v/>
      </c>
    </row>
    <row r="514">
      <c r="A514" t="inlineStr">
        <is>
          <t>Sales</t>
        </is>
      </c>
      <c r="C514">
        <f>C512*C513</f>
        <v/>
      </c>
      <c r="D514">
        <f>D512*D513</f>
        <v/>
      </c>
      <c r="E514">
        <f>E512*E513</f>
        <v/>
      </c>
      <c r="F514">
        <f>F512*F513</f>
        <v/>
      </c>
      <c r="G514">
        <f>G512*G513</f>
        <v/>
      </c>
      <c r="H514">
        <f>H512*H513</f>
        <v/>
      </c>
      <c r="I514">
        <f>I512*I513</f>
        <v/>
      </c>
      <c r="J514">
        <f>J512*J513</f>
        <v/>
      </c>
      <c r="K514">
        <f>K512*K513</f>
        <v/>
      </c>
      <c r="L514">
        <f>L512*L513</f>
        <v/>
      </c>
      <c r="M514">
        <f>M512*M513</f>
        <v/>
      </c>
      <c r="N514">
        <f>N512*N513</f>
        <v/>
      </c>
      <c r="O514">
        <f>O512*O513</f>
        <v/>
      </c>
      <c r="P514">
        <f>P512*P513</f>
        <v/>
      </c>
      <c r="Q514">
        <f>Q512*Q513</f>
        <v/>
      </c>
      <c r="R514">
        <f>R512*R513</f>
        <v/>
      </c>
    </row>
    <row r="515">
      <c r="A515" t="inlineStr">
        <is>
          <t>Gross margin</t>
        </is>
      </c>
      <c r="C515">
        <f>C514*$B$500</f>
        <v/>
      </c>
      <c r="D515">
        <f>D514*$B$500</f>
        <v/>
      </c>
      <c r="E515">
        <f>E514*$B$500</f>
        <v/>
      </c>
      <c r="F515">
        <f>F514*$B$500</f>
        <v/>
      </c>
      <c r="G515">
        <f>G514*$B$500</f>
        <v/>
      </c>
      <c r="H515">
        <f>H514*$B$500</f>
        <v/>
      </c>
      <c r="I515">
        <f>I514*$B$500</f>
        <v/>
      </c>
      <c r="J515">
        <f>J514*$B$500</f>
        <v/>
      </c>
      <c r="K515">
        <f>K514*$B$500</f>
        <v/>
      </c>
      <c r="L515">
        <f>L514*$B$500</f>
        <v/>
      </c>
      <c r="M515">
        <f>M514*$B$500</f>
        <v/>
      </c>
      <c r="N515">
        <f>N514*$B$500</f>
        <v/>
      </c>
      <c r="O515">
        <f>O514*$B$500</f>
        <v/>
      </c>
      <c r="P515">
        <f>P514*$B$500</f>
        <v/>
      </c>
      <c r="Q515">
        <f>Q514*$B$500</f>
        <v/>
      </c>
      <c r="R515">
        <f>R514*$B$500</f>
        <v/>
      </c>
    </row>
    <row r="516">
      <c r="A516" t="inlineStr">
        <is>
          <t>Wage index</t>
        </is>
      </c>
      <c r="C516">
        <f>IF(C510=1,(1+wage_inflation)^(C509-1),0)</f>
        <v/>
      </c>
      <c r="D516">
        <f>IF(D510=1,(1+wage_inflation)^(D509-1),0)</f>
        <v/>
      </c>
      <c r="E516">
        <f>IF(E510=1,(1+wage_inflation)^(E509-1),0)</f>
        <v/>
      </c>
      <c r="F516">
        <f>IF(F510=1,(1+wage_inflation)^(F509-1),0)</f>
        <v/>
      </c>
      <c r="G516">
        <f>IF(G510=1,(1+wage_inflation)^(G509-1),0)</f>
        <v/>
      </c>
      <c r="H516">
        <f>IF(H510=1,(1+wage_inflation)^(H509-1),0)</f>
        <v/>
      </c>
      <c r="I516">
        <f>IF(I510=1,(1+wage_inflation)^(I509-1),0)</f>
        <v/>
      </c>
      <c r="J516">
        <f>IF(J510=1,(1+wage_inflation)^(J509-1),0)</f>
        <v/>
      </c>
      <c r="K516">
        <f>IF(K510=1,(1+wage_inflation)^(K509-1),0)</f>
        <v/>
      </c>
      <c r="L516">
        <f>IF(L510=1,(1+wage_inflation)^(L509-1),0)</f>
        <v/>
      </c>
      <c r="M516">
        <f>IF(M510=1,(1+wage_inflation)^(M509-1),0)</f>
        <v/>
      </c>
      <c r="N516">
        <f>IF(N510=1,(1+wage_inflation)^(N509-1),0)</f>
        <v/>
      </c>
      <c r="O516">
        <f>IF(O510=1,(1+wage_inflation)^(O509-1),0)</f>
        <v/>
      </c>
      <c r="P516">
        <f>IF(P510=1,(1+wage_inflation)^(P509-1),0)</f>
        <v/>
      </c>
      <c r="Q516">
        <f>IF(Q510=1,(1+wage_inflation)^(Q509-1),0)</f>
        <v/>
      </c>
      <c r="R516">
        <f>IF(R510=1,(1+wage_inflation)^(R509-1),0)</f>
        <v/>
      </c>
    </row>
    <row r="517">
      <c r="A517" t="inlineStr">
        <is>
          <t>Payroll</t>
        </is>
      </c>
      <c r="C517">
        <f>(fixed_payroll*C510+variable_cost_per_k*C512/1000)*C516*$B$506</f>
        <v/>
      </c>
      <c r="D517">
        <f>(fixed_payroll*D510+variable_cost_per_k*D512/1000)*D516*$B$506</f>
        <v/>
      </c>
      <c r="E517">
        <f>(fixed_payroll*E510+variable_cost_per_k*E512/1000)*E516*$B$506</f>
        <v/>
      </c>
      <c r="F517">
        <f>(fixed_payroll*F510+variable_cost_per_k*F512/1000)*F516*$B$506</f>
        <v/>
      </c>
      <c r="G517">
        <f>(fixed_payroll*G510+variable_cost_per_k*G512/1000)*G516*$B$506</f>
        <v/>
      </c>
      <c r="H517">
        <f>(fixed_payroll*H510+variable_cost_per_k*H512/1000)*H516*$B$506</f>
        <v/>
      </c>
      <c r="I517">
        <f>(fixed_payroll*I510+variable_cost_per_k*I512/1000)*I516*$B$506</f>
        <v/>
      </c>
      <c r="J517">
        <f>(fixed_payroll*J510+variable_cost_per_k*J512/1000)*J516*$B$506</f>
        <v/>
      </c>
      <c r="K517">
        <f>(fixed_payroll*K510+variable_cost_per_k*K512/1000)*K516*$B$506</f>
        <v/>
      </c>
      <c r="L517">
        <f>(fixed_payroll*L510+variable_cost_per_k*L512/1000)*L516*$B$506</f>
        <v/>
      </c>
      <c r="M517">
        <f>(fixed_payroll*M510+variable_cost_per_k*M512/1000)*M516*$B$506</f>
        <v/>
      </c>
      <c r="N517">
        <f>(fixed_payroll*N510+variable_cost_per_k*N512/1000)*N516*$B$506</f>
        <v/>
      </c>
      <c r="O517">
        <f>(fixed_payroll*O510+variable_cost_per_k*O512/1000)*O516*$B$506</f>
        <v/>
      </c>
      <c r="P517">
        <f>(fixed_payroll*P510+variable_cost_per_k*P512/1000)*P516*$B$506</f>
        <v/>
      </c>
      <c r="Q517">
        <f>(fixed_payroll*Q510+variable_cost_per_k*Q512/1000)*Q516*$B$506</f>
        <v/>
      </c>
      <c r="R517">
        <f>(fixed_payroll*R510+variable_cost_per_k*R512/1000)*R516*$B$506</f>
        <v/>
      </c>
    </row>
    <row r="518">
      <c r="A518" t="inlineStr">
        <is>
          <t>Rent</t>
        </is>
      </c>
      <c r="C518">
        <f>$B$501*(1+IF(C509&gt;=6,rent_review_uplift,0))*C510*$B$505</f>
        <v/>
      </c>
      <c r="D518">
        <f>$B$501*(1+IF(D509&gt;=6,rent_review_uplift,0))*D510*$B$505</f>
        <v/>
      </c>
      <c r="E518">
        <f>$B$501*(1+IF(E509&gt;=6,rent_review_uplift,0))*E510*$B$505</f>
        <v/>
      </c>
      <c r="F518">
        <f>$B$501*(1+IF(F509&gt;=6,rent_review_uplift,0))*F510*$B$505</f>
        <v/>
      </c>
      <c r="G518">
        <f>$B$501*(1+IF(G509&gt;=6,rent_review_uplift,0))*G510*$B$505</f>
        <v/>
      </c>
      <c r="H518">
        <f>$B$501*(1+IF(H509&gt;=6,rent_review_uplift,0))*H510*$B$505</f>
        <v/>
      </c>
      <c r="I518">
        <f>$B$501*(1+IF(I509&gt;=6,rent_review_uplift,0))*I510*$B$505</f>
        <v/>
      </c>
      <c r="J518">
        <f>$B$501*(1+IF(J509&gt;=6,rent_review_uplift,0))*J510*$B$505</f>
        <v/>
      </c>
      <c r="K518">
        <f>$B$501*(1+IF(K509&gt;=6,rent_review_uplift,0))*K510*$B$505</f>
        <v/>
      </c>
      <c r="L518">
        <f>$B$501*(1+IF(L509&gt;=6,rent_review_uplift,0))*L510*$B$505</f>
        <v/>
      </c>
      <c r="M518">
        <f>$B$501*(1+IF(M509&gt;=6,rent_review_uplift,0))*M510*$B$505</f>
        <v/>
      </c>
      <c r="N518">
        <f>$B$501*(1+IF(N509&gt;=6,rent_review_uplift,0))*N510*$B$505</f>
        <v/>
      </c>
      <c r="O518">
        <f>$B$501*(1+IF(O509&gt;=6,rent_review_uplift,0))*O510*$B$505</f>
        <v/>
      </c>
      <c r="P518">
        <f>$B$501*(1+IF(P509&gt;=6,rent_review_uplift,0))*P510*$B$505</f>
        <v/>
      </c>
      <c r="Q518">
        <f>$B$501*(1+IF(Q509&gt;=6,rent_review_uplift,0))*Q510*$B$505</f>
        <v/>
      </c>
      <c r="R518">
        <f>$B$501*(1+IF(R509&gt;=6,rent_review_uplift,0))*R510*$B$505</f>
        <v/>
      </c>
    </row>
    <row r="519">
      <c r="A519" t="inlineStr">
        <is>
          <t>Cost index</t>
        </is>
      </c>
      <c r="C519">
        <f>IF(C510=1,(1+cost_inflation)^(C509-1),0)</f>
        <v/>
      </c>
      <c r="D519">
        <f>IF(D510=1,(1+cost_inflation)^(D509-1),0)</f>
        <v/>
      </c>
      <c r="E519">
        <f>IF(E510=1,(1+cost_inflation)^(E509-1),0)</f>
        <v/>
      </c>
      <c r="F519">
        <f>IF(F510=1,(1+cost_inflation)^(F509-1),0)</f>
        <v/>
      </c>
      <c r="G519">
        <f>IF(G510=1,(1+cost_inflation)^(G509-1),0)</f>
        <v/>
      </c>
      <c r="H519">
        <f>IF(H510=1,(1+cost_inflation)^(H509-1),0)</f>
        <v/>
      </c>
      <c r="I519">
        <f>IF(I510=1,(1+cost_inflation)^(I509-1),0)</f>
        <v/>
      </c>
      <c r="J519">
        <f>IF(J510=1,(1+cost_inflation)^(J509-1),0)</f>
        <v/>
      </c>
      <c r="K519">
        <f>IF(K510=1,(1+cost_inflation)^(K509-1),0)</f>
        <v/>
      </c>
      <c r="L519">
        <f>IF(L510=1,(1+cost_inflation)^(L509-1),0)</f>
        <v/>
      </c>
      <c r="M519">
        <f>IF(M510=1,(1+cost_inflation)^(M509-1),0)</f>
        <v/>
      </c>
      <c r="N519">
        <f>IF(N510=1,(1+cost_inflation)^(N509-1),0)</f>
        <v/>
      </c>
      <c r="O519">
        <f>IF(O510=1,(1+cost_inflation)^(O509-1),0)</f>
        <v/>
      </c>
      <c r="P519">
        <f>IF(P510=1,(1+cost_inflation)^(P509-1),0)</f>
        <v/>
      </c>
      <c r="Q519">
        <f>IF(Q510=1,(1+cost_inflation)^(Q509-1),0)</f>
        <v/>
      </c>
      <c r="R519">
        <f>IF(R510=1,(1+cost_inflation)^(R509-1),0)</f>
        <v/>
      </c>
    </row>
    <row r="520">
      <c r="A520" t="inlineStr">
        <is>
          <t>Business rates</t>
        </is>
      </c>
      <c r="C520">
        <f>rateable_value*IF(rateable_value&lt;51000,rates_multiplier_rhl_small,IF(rateable_value&lt;500000,rates_multiplier_rhl_standard,rates_multiplier_high_value))*C519</f>
        <v/>
      </c>
      <c r="D520">
        <f>rateable_value*IF(rateable_value&lt;51000,rates_multiplier_rhl_small,IF(rateable_value&lt;500000,rates_multiplier_rhl_standard,rates_multiplier_high_value))*D519</f>
        <v/>
      </c>
      <c r="E520">
        <f>rateable_value*IF(rateable_value&lt;51000,rates_multiplier_rhl_small,IF(rateable_value&lt;500000,rates_multiplier_rhl_standard,rates_multiplier_high_value))*E519</f>
        <v/>
      </c>
      <c r="F520">
        <f>rateable_value*IF(rateable_value&lt;51000,rates_multiplier_rhl_small,IF(rateable_value&lt;500000,rates_multiplier_rhl_standard,rates_multiplier_high_value))*F519</f>
        <v/>
      </c>
      <c r="G520">
        <f>rateable_value*IF(rateable_value&lt;51000,rates_multiplier_rhl_small,IF(rateable_value&lt;500000,rates_multiplier_rhl_standard,rates_multiplier_high_value))*G519</f>
        <v/>
      </c>
      <c r="H520">
        <f>rateable_value*IF(rateable_value&lt;51000,rates_multiplier_rhl_small,IF(rateable_value&lt;500000,rates_multiplier_rhl_standard,rates_multiplier_high_value))*H519</f>
        <v/>
      </c>
      <c r="I520">
        <f>rateable_value*IF(rateable_value&lt;51000,rates_multiplier_rhl_small,IF(rateable_value&lt;500000,rates_multiplier_rhl_standard,rates_multiplier_high_value))*I519</f>
        <v/>
      </c>
      <c r="J520">
        <f>rateable_value*IF(rateable_value&lt;51000,rates_multiplier_rhl_small,IF(rateable_value&lt;500000,rates_multiplier_rhl_standard,rates_multiplier_high_value))*J519</f>
        <v/>
      </c>
      <c r="K520">
        <f>rateable_value*IF(rateable_value&lt;51000,rates_multiplier_rhl_small,IF(rateable_value&lt;500000,rates_multiplier_rhl_standard,rates_multiplier_high_value))*K519</f>
        <v/>
      </c>
      <c r="L520">
        <f>rateable_value*IF(rateable_value&lt;51000,rates_multiplier_rhl_small,IF(rateable_value&lt;500000,rates_multiplier_rhl_standard,rates_multiplier_high_value))*L519</f>
        <v/>
      </c>
      <c r="M520">
        <f>rateable_value*IF(rateable_value&lt;51000,rates_multiplier_rhl_small,IF(rateable_value&lt;500000,rates_multiplier_rhl_standard,rates_multiplier_high_value))*M519</f>
        <v/>
      </c>
      <c r="N520">
        <f>rateable_value*IF(rateable_value&lt;51000,rates_multiplier_rhl_small,IF(rateable_value&lt;500000,rates_multiplier_rhl_standard,rates_multiplier_high_value))*N519</f>
        <v/>
      </c>
      <c r="O520">
        <f>rateable_value*IF(rateable_value&lt;51000,rates_multiplier_rhl_small,IF(rateable_value&lt;500000,rates_multiplier_rhl_standard,rates_multiplier_high_value))*O519</f>
        <v/>
      </c>
      <c r="P520">
        <f>rateable_value*IF(rateable_value&lt;51000,rates_multiplier_rhl_small,IF(rateable_value&lt;500000,rates_multiplier_rhl_standard,rates_multiplier_high_value))*P519</f>
        <v/>
      </c>
      <c r="Q520">
        <f>rateable_value*IF(rateable_value&lt;51000,rates_multiplier_rhl_small,IF(rateable_value&lt;500000,rates_multiplier_rhl_standard,rates_multiplier_high_value))*Q519</f>
        <v/>
      </c>
      <c r="R520">
        <f>rateable_value*IF(rateable_value&lt;51000,rates_multiplier_rhl_small,IF(rateable_value&lt;500000,rates_multiplier_rhl_standard,rates_multiplier_high_value))*R519</f>
        <v/>
      </c>
    </row>
    <row r="521">
      <c r="A521" t="inlineStr">
        <is>
          <t>Service charge, utilities, insurance</t>
        </is>
      </c>
      <c r="C521">
        <f>occupancy_other_psf*area_sqft*C519</f>
        <v/>
      </c>
      <c r="D521">
        <f>occupancy_other_psf*area_sqft*D519</f>
        <v/>
      </c>
      <c r="E521">
        <f>occupancy_other_psf*area_sqft*E519</f>
        <v/>
      </c>
      <c r="F521">
        <f>occupancy_other_psf*area_sqft*F519</f>
        <v/>
      </c>
      <c r="G521">
        <f>occupancy_other_psf*area_sqft*G519</f>
        <v/>
      </c>
      <c r="H521">
        <f>occupancy_other_psf*area_sqft*H519</f>
        <v/>
      </c>
      <c r="I521">
        <f>occupancy_other_psf*area_sqft*I519</f>
        <v/>
      </c>
      <c r="J521">
        <f>occupancy_other_psf*area_sqft*J519</f>
        <v/>
      </c>
      <c r="K521">
        <f>occupancy_other_psf*area_sqft*K519</f>
        <v/>
      </c>
      <c r="L521">
        <f>occupancy_other_psf*area_sqft*L519</f>
        <v/>
      </c>
      <c r="M521">
        <f>occupancy_other_psf*area_sqft*M519</f>
        <v/>
      </c>
      <c r="N521">
        <f>occupancy_other_psf*area_sqft*N519</f>
        <v/>
      </c>
      <c r="O521">
        <f>occupancy_other_psf*area_sqft*O519</f>
        <v/>
      </c>
      <c r="P521">
        <f>occupancy_other_psf*area_sqft*P519</f>
        <v/>
      </c>
      <c r="Q521">
        <f>occupancy_other_psf*area_sqft*Q519</f>
        <v/>
      </c>
      <c r="R521">
        <f>occupancy_other_psf*area_sqft*R519</f>
        <v/>
      </c>
    </row>
    <row r="522">
      <c r="A522" t="inlineStr">
        <is>
          <t>Other store opex</t>
        </is>
      </c>
      <c r="C522">
        <f>C514*other_opex_pct_sales</f>
        <v/>
      </c>
      <c r="D522">
        <f>D514*other_opex_pct_sales</f>
        <v/>
      </c>
      <c r="E522">
        <f>E514*other_opex_pct_sales</f>
        <v/>
      </c>
      <c r="F522">
        <f>F514*other_opex_pct_sales</f>
        <v/>
      </c>
      <c r="G522">
        <f>G514*other_opex_pct_sales</f>
        <v/>
      </c>
      <c r="H522">
        <f>H514*other_opex_pct_sales</f>
        <v/>
      </c>
      <c r="I522">
        <f>I514*other_opex_pct_sales</f>
        <v/>
      </c>
      <c r="J522">
        <f>J514*other_opex_pct_sales</f>
        <v/>
      </c>
      <c r="K522">
        <f>K514*other_opex_pct_sales</f>
        <v/>
      </c>
      <c r="L522">
        <f>L514*other_opex_pct_sales</f>
        <v/>
      </c>
      <c r="M522">
        <f>M514*other_opex_pct_sales</f>
        <v/>
      </c>
      <c r="N522">
        <f>N514*other_opex_pct_sales</f>
        <v/>
      </c>
      <c r="O522">
        <f>O514*other_opex_pct_sales</f>
        <v/>
      </c>
      <c r="P522">
        <f>P514*other_opex_pct_sales</f>
        <v/>
      </c>
      <c r="Q522">
        <f>Q514*other_opex_pct_sales</f>
        <v/>
      </c>
      <c r="R522">
        <f>R514*other_opex_pct_sales</f>
        <v/>
      </c>
    </row>
    <row r="523">
      <c r="A523" t="inlineStr">
        <is>
          <t>Store EBITDA (4-wall)</t>
        </is>
      </c>
      <c r="C523">
        <f>C515-C517-C518-C520-C521-C522</f>
        <v/>
      </c>
      <c r="D523">
        <f>D515-D517-D518-D520-D521-D522</f>
        <v/>
      </c>
      <c r="E523">
        <f>E515-E517-E518-E520-E521-E522</f>
        <v/>
      </c>
      <c r="F523">
        <f>F515-F517-F518-F520-F521-F522</f>
        <v/>
      </c>
      <c r="G523">
        <f>G515-G517-G518-G520-G521-G522</f>
        <v/>
      </c>
      <c r="H523">
        <f>H515-H517-H518-H520-H521-H522</f>
        <v/>
      </c>
      <c r="I523">
        <f>I515-I517-I518-I520-I521-I522</f>
        <v/>
      </c>
      <c r="J523">
        <f>J515-J517-J518-J520-J521-J522</f>
        <v/>
      </c>
      <c r="K523">
        <f>K515-K517-K518-K520-K521-K522</f>
        <v/>
      </c>
      <c r="L523">
        <f>L515-L517-L518-L520-L521-L522</f>
        <v/>
      </c>
      <c r="M523">
        <f>M515-M517-M518-M520-M521-M522</f>
        <v/>
      </c>
      <c r="N523">
        <f>N515-N517-N518-N520-N521-N522</f>
        <v/>
      </c>
      <c r="O523">
        <f>O515-O517-O518-O520-O521-O522</f>
        <v/>
      </c>
      <c r="P523">
        <f>P515-P517-P518-P520-P521-P522</f>
        <v/>
      </c>
      <c r="Q523">
        <f>Q515-Q517-Q518-Q520-Q521-Q522</f>
        <v/>
      </c>
      <c r="R523">
        <f>R515-R517-R518-R520-R521-R522</f>
        <v/>
      </c>
    </row>
    <row r="524">
      <c r="A524" t="inlineStr">
        <is>
          <t>Pre-opening costs</t>
        </is>
      </c>
      <c r="C524">
        <f>IF(C509=0,pre_opening_costs,0)</f>
        <v/>
      </c>
      <c r="D524">
        <f>IF(D509=0,pre_opening_costs,0)</f>
        <v/>
      </c>
      <c r="E524">
        <f>IF(E509=0,pre_opening_costs,0)</f>
        <v/>
      </c>
      <c r="F524">
        <f>IF(F509=0,pre_opening_costs,0)</f>
        <v/>
      </c>
      <c r="G524">
        <f>IF(G509=0,pre_opening_costs,0)</f>
        <v/>
      </c>
      <c r="H524">
        <f>IF(H509=0,pre_opening_costs,0)</f>
        <v/>
      </c>
      <c r="I524">
        <f>IF(I509=0,pre_opening_costs,0)</f>
        <v/>
      </c>
      <c r="J524">
        <f>IF(J509=0,pre_opening_costs,0)</f>
        <v/>
      </c>
      <c r="K524">
        <f>IF(K509=0,pre_opening_costs,0)</f>
        <v/>
      </c>
      <c r="L524">
        <f>IF(L509=0,pre_opening_costs,0)</f>
        <v/>
      </c>
      <c r="M524">
        <f>IF(M509=0,pre_opening_costs,0)</f>
        <v/>
      </c>
      <c r="N524">
        <f>IF(N509=0,pre_opening_costs,0)</f>
        <v/>
      </c>
      <c r="O524">
        <f>IF(O509=0,pre_opening_costs,0)</f>
        <v/>
      </c>
      <c r="P524">
        <f>IF(P509=0,pre_opening_costs,0)</f>
        <v/>
      </c>
      <c r="Q524">
        <f>IF(Q509=0,pre_opening_costs,0)</f>
        <v/>
      </c>
      <c r="R524">
        <f>IF(R509=0,pre_opening_costs,0)</f>
        <v/>
      </c>
    </row>
    <row r="525">
      <c r="A525" t="inlineStr">
        <is>
          <t>Fit-out capex</t>
        </is>
      </c>
      <c r="C525">
        <f>IF(C509=0,$B$502,0)</f>
        <v/>
      </c>
      <c r="D525">
        <f>IF(D509=0,$B$502,0)</f>
        <v/>
      </c>
      <c r="E525">
        <f>IF(E509=0,$B$502,0)</f>
        <v/>
      </c>
      <c r="F525">
        <f>IF(F509=0,$B$502,0)</f>
        <v/>
      </c>
      <c r="G525">
        <f>IF(G509=0,$B$502,0)</f>
        <v/>
      </c>
      <c r="H525">
        <f>IF(H509=0,$B$502,0)</f>
        <v/>
      </c>
      <c r="I525">
        <f>IF(I509=0,$B$502,0)</f>
        <v/>
      </c>
      <c r="J525">
        <f>IF(J509=0,$B$502,0)</f>
        <v/>
      </c>
      <c r="K525">
        <f>IF(K509=0,$B$502,0)</f>
        <v/>
      </c>
      <c r="L525">
        <f>IF(L509=0,$B$502,0)</f>
        <v/>
      </c>
      <c r="M525">
        <f>IF(M509=0,$B$502,0)</f>
        <v/>
      </c>
      <c r="N525">
        <f>IF(N509=0,$B$502,0)</f>
        <v/>
      </c>
      <c r="O525">
        <f>IF(O509=0,$B$502,0)</f>
        <v/>
      </c>
      <c r="P525">
        <f>IF(P509=0,$B$502,0)</f>
        <v/>
      </c>
      <c r="Q525">
        <f>IF(Q509=0,$B$502,0)</f>
        <v/>
      </c>
      <c r="R525">
        <f>IF(R509=0,$B$502,0)</f>
        <v/>
      </c>
    </row>
    <row r="526">
      <c r="A526" t="inlineStr">
        <is>
          <t>Tax depreciation</t>
        </is>
      </c>
      <c r="C526">
        <f>IF(AND(C509&gt;=1,C509&lt;=tax_depreciation_years,C509&lt;=lease_term_years),$B$502/tax_depreciation_years,0)</f>
        <v/>
      </c>
      <c r="D526">
        <f>IF(AND(D509&gt;=1,D509&lt;=tax_depreciation_years,D509&lt;=lease_term_years),$B$502/tax_depreciation_years,0)</f>
        <v/>
      </c>
      <c r="E526">
        <f>IF(AND(E509&gt;=1,E509&lt;=tax_depreciation_years,E509&lt;=lease_term_years),$B$502/tax_depreciation_years,0)</f>
        <v/>
      </c>
      <c r="F526">
        <f>IF(AND(F509&gt;=1,F509&lt;=tax_depreciation_years,F509&lt;=lease_term_years),$B$502/tax_depreciation_years,0)</f>
        <v/>
      </c>
      <c r="G526">
        <f>IF(AND(G509&gt;=1,G509&lt;=tax_depreciation_years,G509&lt;=lease_term_years),$B$502/tax_depreciation_years,0)</f>
        <v/>
      </c>
      <c r="H526">
        <f>IF(AND(H509&gt;=1,H509&lt;=tax_depreciation_years,H509&lt;=lease_term_years),$B$502/tax_depreciation_years,0)</f>
        <v/>
      </c>
      <c r="I526">
        <f>IF(AND(I509&gt;=1,I509&lt;=tax_depreciation_years,I509&lt;=lease_term_years),$B$502/tax_depreciation_years,0)</f>
        <v/>
      </c>
      <c r="J526">
        <f>IF(AND(J509&gt;=1,J509&lt;=tax_depreciation_years,J509&lt;=lease_term_years),$B$502/tax_depreciation_years,0)</f>
        <v/>
      </c>
      <c r="K526">
        <f>IF(AND(K509&gt;=1,K509&lt;=tax_depreciation_years,K509&lt;=lease_term_years),$B$502/tax_depreciation_years,0)</f>
        <v/>
      </c>
      <c r="L526">
        <f>IF(AND(L509&gt;=1,L509&lt;=tax_depreciation_years,L509&lt;=lease_term_years),$B$502/tax_depreciation_years,0)</f>
        <v/>
      </c>
      <c r="M526">
        <f>IF(AND(M509&gt;=1,M509&lt;=tax_depreciation_years,M509&lt;=lease_term_years),$B$502/tax_depreciation_years,0)</f>
        <v/>
      </c>
      <c r="N526">
        <f>IF(AND(N509&gt;=1,N509&lt;=tax_depreciation_years,N509&lt;=lease_term_years),$B$502/tax_depreciation_years,0)</f>
        <v/>
      </c>
      <c r="O526">
        <f>IF(AND(O509&gt;=1,O509&lt;=tax_depreciation_years,O509&lt;=lease_term_years),$B$502/tax_depreciation_years,0)</f>
        <v/>
      </c>
      <c r="P526">
        <f>IF(AND(P509&gt;=1,P509&lt;=tax_depreciation_years,P509&lt;=lease_term_years),$B$502/tax_depreciation_years,0)</f>
        <v/>
      </c>
      <c r="Q526">
        <f>IF(AND(Q509&gt;=1,Q509&lt;=tax_depreciation_years,Q509&lt;=lease_term_years),$B$502/tax_depreciation_years,0)</f>
        <v/>
      </c>
      <c r="R526">
        <f>IF(AND(R509&gt;=1,R509&lt;=tax_depreciation_years,R509&lt;=lease_term_years),$B$502/tax_depreciation_years,0)</f>
        <v/>
      </c>
    </row>
    <row r="527">
      <c r="A527" t="inlineStr">
        <is>
          <t>Dilapidations</t>
        </is>
      </c>
      <c r="C527">
        <f>IF(C509=lease_term_years,dilapidations_at_exit,0)</f>
        <v/>
      </c>
      <c r="D527">
        <f>IF(D509=lease_term_years,dilapidations_at_exit,0)</f>
        <v/>
      </c>
      <c r="E527">
        <f>IF(E509=lease_term_years,dilapidations_at_exit,0)</f>
        <v/>
      </c>
      <c r="F527">
        <f>IF(F509=lease_term_years,dilapidations_at_exit,0)</f>
        <v/>
      </c>
      <c r="G527">
        <f>IF(G509=lease_term_years,dilapidations_at_exit,0)</f>
        <v/>
      </c>
      <c r="H527">
        <f>IF(H509=lease_term_years,dilapidations_at_exit,0)</f>
        <v/>
      </c>
      <c r="I527">
        <f>IF(I509=lease_term_years,dilapidations_at_exit,0)</f>
        <v/>
      </c>
      <c r="J527">
        <f>IF(J509=lease_term_years,dilapidations_at_exit,0)</f>
        <v/>
      </c>
      <c r="K527">
        <f>IF(K509=lease_term_years,dilapidations_at_exit,0)</f>
        <v/>
      </c>
      <c r="L527">
        <f>IF(L509=lease_term_years,dilapidations_at_exit,0)</f>
        <v/>
      </c>
      <c r="M527">
        <f>IF(M509=lease_term_years,dilapidations_at_exit,0)</f>
        <v/>
      </c>
      <c r="N527">
        <f>IF(N509=lease_term_years,dilapidations_at_exit,0)</f>
        <v/>
      </c>
      <c r="O527">
        <f>IF(O509=lease_term_years,dilapidations_at_exit,0)</f>
        <v/>
      </c>
      <c r="P527">
        <f>IF(P509=lease_term_years,dilapidations_at_exit,0)</f>
        <v/>
      </c>
      <c r="Q527">
        <f>IF(Q509=lease_term_years,dilapidations_at_exit,0)</f>
        <v/>
      </c>
      <c r="R527">
        <f>IF(R509=lease_term_years,dilapidations_at_exit,0)</f>
        <v/>
      </c>
    </row>
    <row r="528">
      <c r="A528" t="inlineStr">
        <is>
          <t>Taxable profit</t>
        </is>
      </c>
      <c r="C528">
        <f>C523-C524-C526-C527</f>
        <v/>
      </c>
      <c r="D528">
        <f>D523-D524-D526-D527</f>
        <v/>
      </c>
      <c r="E528">
        <f>E523-E524-E526-E527</f>
        <v/>
      </c>
      <c r="F528">
        <f>F523-F524-F526-F527</f>
        <v/>
      </c>
      <c r="G528">
        <f>G523-G524-G526-G527</f>
        <v/>
      </c>
      <c r="H528">
        <f>H523-H524-H526-H527</f>
        <v/>
      </c>
      <c r="I528">
        <f>I523-I524-I526-I527</f>
        <v/>
      </c>
      <c r="J528">
        <f>J523-J524-J526-J527</f>
        <v/>
      </c>
      <c r="K528">
        <f>K523-K524-K526-K527</f>
        <v/>
      </c>
      <c r="L528">
        <f>L523-L524-L526-L527</f>
        <v/>
      </c>
      <c r="M528">
        <f>M523-M524-M526-M527</f>
        <v/>
      </c>
      <c r="N528">
        <f>N523-N524-N526-N527</f>
        <v/>
      </c>
      <c r="O528">
        <f>O523-O524-O526-O527</f>
        <v/>
      </c>
      <c r="P528">
        <f>P523-P524-P526-P527</f>
        <v/>
      </c>
      <c r="Q528">
        <f>Q523-Q524-Q526-Q527</f>
        <v/>
      </c>
      <c r="R528">
        <f>R523-R524-R526-R527</f>
        <v/>
      </c>
    </row>
    <row r="529">
      <c r="A529" t="inlineStr">
        <is>
          <t>Tax (negative = group relief)</t>
        </is>
      </c>
      <c r="C529">
        <f>C528*tax_rate</f>
        <v/>
      </c>
      <c r="D529">
        <f>D528*tax_rate</f>
        <v/>
      </c>
      <c r="E529">
        <f>E528*tax_rate</f>
        <v/>
      </c>
      <c r="F529">
        <f>F528*tax_rate</f>
        <v/>
      </c>
      <c r="G529">
        <f>G528*tax_rate</f>
        <v/>
      </c>
      <c r="H529">
        <f>H528*tax_rate</f>
        <v/>
      </c>
      <c r="I529">
        <f>I528*tax_rate</f>
        <v/>
      </c>
      <c r="J529">
        <f>J528*tax_rate</f>
        <v/>
      </c>
      <c r="K529">
        <f>K528*tax_rate</f>
        <v/>
      </c>
      <c r="L529">
        <f>L528*tax_rate</f>
        <v/>
      </c>
      <c r="M529">
        <f>M528*tax_rate</f>
        <v/>
      </c>
      <c r="N529">
        <f>N528*tax_rate</f>
        <v/>
      </c>
      <c r="O529">
        <f>O528*tax_rate</f>
        <v/>
      </c>
      <c r="P529">
        <f>P528*tax_rate</f>
        <v/>
      </c>
      <c r="Q529">
        <f>Q528*tax_rate</f>
        <v/>
      </c>
      <c r="R529">
        <f>R528*tax_rate</f>
        <v/>
      </c>
    </row>
    <row r="530">
      <c r="A530" t="inlineStr">
        <is>
          <t>Stock held</t>
        </is>
      </c>
      <c r="C530">
        <f>IF(C509&lt;lease_term_years,stock_pct_sales*D514,0)</f>
        <v/>
      </c>
      <c r="D530">
        <f>IF(D509&lt;lease_term_years,stock_pct_sales*E514,0)</f>
        <v/>
      </c>
      <c r="E530">
        <f>IF(E509&lt;lease_term_years,stock_pct_sales*F514,0)</f>
        <v/>
      </c>
      <c r="F530">
        <f>IF(F509&lt;lease_term_years,stock_pct_sales*G514,0)</f>
        <v/>
      </c>
      <c r="G530">
        <f>IF(G509&lt;lease_term_years,stock_pct_sales*H514,0)</f>
        <v/>
      </c>
      <c r="H530">
        <f>IF(H509&lt;lease_term_years,stock_pct_sales*I514,0)</f>
        <v/>
      </c>
      <c r="I530">
        <f>IF(I509&lt;lease_term_years,stock_pct_sales*J514,0)</f>
        <v/>
      </c>
      <c r="J530">
        <f>IF(J509&lt;lease_term_years,stock_pct_sales*K514,0)</f>
        <v/>
      </c>
      <c r="K530">
        <f>IF(K509&lt;lease_term_years,stock_pct_sales*L514,0)</f>
        <v/>
      </c>
      <c r="L530">
        <f>IF(L509&lt;lease_term_years,stock_pct_sales*M514,0)</f>
        <v/>
      </c>
      <c r="M530">
        <f>IF(M509&lt;lease_term_years,stock_pct_sales*N514,0)</f>
        <v/>
      </c>
      <c r="N530">
        <f>IF(N509&lt;lease_term_years,stock_pct_sales*O514,0)</f>
        <v/>
      </c>
      <c r="O530">
        <f>IF(O509&lt;lease_term_years,stock_pct_sales*P514,0)</f>
        <v/>
      </c>
      <c r="P530">
        <f>IF(P509&lt;lease_term_years,stock_pct_sales*Q514,0)</f>
        <v/>
      </c>
      <c r="Q530">
        <f>IF(Q509&lt;lease_term_years,stock_pct_sales*R514,0)</f>
        <v/>
      </c>
      <c r="R530">
        <f>0</f>
        <v/>
      </c>
    </row>
    <row r="531">
      <c r="A531" t="inlineStr">
        <is>
          <t>Change in stock</t>
        </is>
      </c>
      <c r="C531">
        <f>C530</f>
        <v/>
      </c>
      <c r="D531">
        <f>D530-C530</f>
        <v/>
      </c>
      <c r="E531">
        <f>E530-D530</f>
        <v/>
      </c>
      <c r="F531">
        <f>F530-E530</f>
        <v/>
      </c>
      <c r="G531">
        <f>G530-F530</f>
        <v/>
      </c>
      <c r="H531">
        <f>H530-G530</f>
        <v/>
      </c>
      <c r="I531">
        <f>I530-H530</f>
        <v/>
      </c>
      <c r="J531">
        <f>J530-I530</f>
        <v/>
      </c>
      <c r="K531">
        <f>K530-J530</f>
        <v/>
      </c>
      <c r="L531">
        <f>L530-K530</f>
        <v/>
      </c>
      <c r="M531">
        <f>M530-L530</f>
        <v/>
      </c>
      <c r="N531">
        <f>N530-M530</f>
        <v/>
      </c>
      <c r="O531">
        <f>O530-N530</f>
        <v/>
      </c>
      <c r="P531">
        <f>P530-O530</f>
        <v/>
      </c>
      <c r="Q531">
        <f>Q530-P530</f>
        <v/>
      </c>
      <c r="R531">
        <f>R530-Q530</f>
        <v/>
      </c>
    </row>
    <row r="532">
      <c r="A532" t="inlineStr">
        <is>
          <t>Free cash flow</t>
        </is>
      </c>
      <c r="C532">
        <f>C523-C524-C529-C525-C531-C527</f>
        <v/>
      </c>
      <c r="D532">
        <f>D523-D524-D529-D525-D531-D527</f>
        <v/>
      </c>
      <c r="E532">
        <f>E523-E524-E529-E525-E531-E527</f>
        <v/>
      </c>
      <c r="F532">
        <f>F523-F524-F529-F525-F531-F527</f>
        <v/>
      </c>
      <c r="G532">
        <f>G523-G524-G529-G525-G531-G527</f>
        <v/>
      </c>
      <c r="H532">
        <f>H523-H524-H529-H525-H531-H527</f>
        <v/>
      </c>
      <c r="I532">
        <f>I523-I524-I529-I525-I531-I527</f>
        <v/>
      </c>
      <c r="J532">
        <f>J523-J524-J529-J525-J531-J527</f>
        <v/>
      </c>
      <c r="K532">
        <f>K523-K524-K529-K525-K531-K527</f>
        <v/>
      </c>
      <c r="L532">
        <f>L523-L524-L529-L525-L531-L527</f>
        <v/>
      </c>
      <c r="M532">
        <f>M523-M524-M529-M525-M531-M527</f>
        <v/>
      </c>
      <c r="N532">
        <f>N523-N524-N529-N525-N531-N527</f>
        <v/>
      </c>
      <c r="O532">
        <f>O523-O524-O529-O525-O531-O527</f>
        <v/>
      </c>
      <c r="P532">
        <f>P523-P524-P529-P525-P531-P527</f>
        <v/>
      </c>
      <c r="Q532">
        <f>Q523-Q524-Q529-Q525-Q531-Q527</f>
        <v/>
      </c>
      <c r="R532">
        <f>R523-R524-R529-R525-R531-R527</f>
        <v/>
      </c>
    </row>
    <row r="533">
      <c r="A533" t="inlineStr">
        <is>
          <t>Discount factor</t>
        </is>
      </c>
      <c r="C533">
        <f>1/(1+discount_rate)^C509</f>
        <v/>
      </c>
      <c r="D533">
        <f>1/(1+discount_rate)^D509</f>
        <v/>
      </c>
      <c r="E533">
        <f>1/(1+discount_rate)^E509</f>
        <v/>
      </c>
      <c r="F533">
        <f>1/(1+discount_rate)^F509</f>
        <v/>
      </c>
      <c r="G533">
        <f>1/(1+discount_rate)^G509</f>
        <v/>
      </c>
      <c r="H533">
        <f>1/(1+discount_rate)^H509</f>
        <v/>
      </c>
      <c r="I533">
        <f>1/(1+discount_rate)^I509</f>
        <v/>
      </c>
      <c r="J533">
        <f>1/(1+discount_rate)^J509</f>
        <v/>
      </c>
      <c r="K533">
        <f>1/(1+discount_rate)^K509</f>
        <v/>
      </c>
      <c r="L533">
        <f>1/(1+discount_rate)^L509</f>
        <v/>
      </c>
      <c r="M533">
        <f>1/(1+discount_rate)^M509</f>
        <v/>
      </c>
      <c r="N533">
        <f>1/(1+discount_rate)^N509</f>
        <v/>
      </c>
      <c r="O533">
        <f>1/(1+discount_rate)^O509</f>
        <v/>
      </c>
      <c r="P533">
        <f>1/(1+discount_rate)^P509</f>
        <v/>
      </c>
      <c r="Q533">
        <f>1/(1+discount_rate)^Q509</f>
        <v/>
      </c>
      <c r="R533">
        <f>1/(1+discount_rate)^R509</f>
        <v/>
      </c>
    </row>
    <row r="534">
      <c r="A534" t="inlineStr">
        <is>
          <t>Present value</t>
        </is>
      </c>
      <c r="C534">
        <f>C532*C533</f>
        <v/>
      </c>
      <c r="D534">
        <f>D532*D533</f>
        <v/>
      </c>
      <c r="E534">
        <f>E532*E533</f>
        <v/>
      </c>
      <c r="F534">
        <f>F532*F533</f>
        <v/>
      </c>
      <c r="G534">
        <f>G532*G533</f>
        <v/>
      </c>
      <c r="H534">
        <f>H532*H533</f>
        <v/>
      </c>
      <c r="I534">
        <f>I532*I533</f>
        <v/>
      </c>
      <c r="J534">
        <f>J532*J533</f>
        <v/>
      </c>
      <c r="K534">
        <f>K532*K533</f>
        <v/>
      </c>
      <c r="L534">
        <f>L532*L533</f>
        <v/>
      </c>
      <c r="M534">
        <f>M532*M533</f>
        <v/>
      </c>
      <c r="N534">
        <f>N532*N533</f>
        <v/>
      </c>
      <c r="O534">
        <f>O532*O533</f>
        <v/>
      </c>
      <c r="P534">
        <f>P532*P533</f>
        <v/>
      </c>
      <c r="Q534">
        <f>Q532*Q533</f>
        <v/>
      </c>
      <c r="R534">
        <f>R532*R533</f>
        <v/>
      </c>
    </row>
    <row r="535">
      <c r="A535" t="inlineStr">
        <is>
          <t>Cumulative cash flow</t>
        </is>
      </c>
      <c r="C535">
        <f>C532</f>
        <v/>
      </c>
      <c r="D535">
        <f>C535+D532</f>
        <v/>
      </c>
      <c r="E535">
        <f>D535+E532</f>
        <v/>
      </c>
      <c r="F535">
        <f>E535+F532</f>
        <v/>
      </c>
      <c r="G535">
        <f>F535+G532</f>
        <v/>
      </c>
      <c r="H535">
        <f>G535+H532</f>
        <v/>
      </c>
      <c r="I535">
        <f>H535+I532</f>
        <v/>
      </c>
      <c r="J535">
        <f>I535+J532</f>
        <v/>
      </c>
      <c r="K535">
        <f>J535+K532</f>
        <v/>
      </c>
      <c r="L535">
        <f>K535+L532</f>
        <v/>
      </c>
      <c r="M535">
        <f>L535+M532</f>
        <v/>
      </c>
      <c r="N535">
        <f>M535+N532</f>
        <v/>
      </c>
      <c r="O535">
        <f>N535+O532</f>
        <v/>
      </c>
      <c r="P535">
        <f>O535+P532</f>
        <v/>
      </c>
      <c r="Q535">
        <f>P535+Q532</f>
        <v/>
      </c>
      <c r="R535">
        <f>Q535+R532</f>
        <v/>
      </c>
    </row>
    <row r="536">
      <c r="A536" t="inlineStr">
        <is>
          <t>Payback helper (months)</t>
        </is>
      </c>
      <c r="C536">
        <f>0</f>
        <v/>
      </c>
      <c r="D536">
        <f>IF(AND(C535&lt;0,D535&gt;=0),(D509-1+(-C535)/D532)*12,0)</f>
        <v/>
      </c>
      <c r="E536">
        <f>IF(AND(D535&lt;0,E535&gt;=0),(E509-1+(-D535)/E532)*12,0)</f>
        <v/>
      </c>
      <c r="F536">
        <f>IF(AND(E535&lt;0,F535&gt;=0),(F509-1+(-E535)/F532)*12,0)</f>
        <v/>
      </c>
      <c r="G536">
        <f>IF(AND(F535&lt;0,G535&gt;=0),(G509-1+(-F535)/G532)*12,0)</f>
        <v/>
      </c>
      <c r="H536">
        <f>IF(AND(G535&lt;0,H535&gt;=0),(H509-1+(-G535)/H532)*12,0)</f>
        <v/>
      </c>
      <c r="I536">
        <f>IF(AND(H535&lt;0,I535&gt;=0),(I509-1+(-H535)/I532)*12,0)</f>
        <v/>
      </c>
      <c r="J536">
        <f>IF(AND(I535&lt;0,J535&gt;=0),(J509-1+(-I535)/J532)*12,0)</f>
        <v/>
      </c>
      <c r="K536">
        <f>IF(AND(J535&lt;0,K535&gt;=0),(K509-1+(-J535)/K532)*12,0)</f>
        <v/>
      </c>
      <c r="L536">
        <f>IF(AND(K535&lt;0,L535&gt;=0),(L509-1+(-K535)/L532)*12,0)</f>
        <v/>
      </c>
      <c r="M536">
        <f>IF(AND(L535&lt;0,M535&gt;=0),(M509-1+(-L535)/M532)*12,0)</f>
        <v/>
      </c>
      <c r="N536">
        <f>IF(AND(M535&lt;0,N535&gt;=0),(N509-1+(-M535)/N532)*12,0)</f>
        <v/>
      </c>
      <c r="O536">
        <f>IF(AND(N535&lt;0,O535&gt;=0),(O509-1+(-N535)/O532)*12,0)</f>
        <v/>
      </c>
      <c r="P536">
        <f>IF(AND(O535&lt;0,P535&gt;=0),(P509-1+(-O535)/P532)*12,0)</f>
        <v/>
      </c>
      <c r="Q536">
        <f>IF(AND(P535&lt;0,Q535&gt;=0),(Q509-1+(-P535)/Q532)*12,0)</f>
        <v/>
      </c>
      <c r="R536">
        <f>IF(AND(Q535&lt;0,R535&gt;=0),(R509-1+(-Q535)/R532)*12,0)</f>
        <v/>
      </c>
    </row>
    <row r="538">
      <c r="A538" s="10" t="inlineStr">
        <is>
          <t>npv</t>
        </is>
      </c>
      <c r="B538" s="8">
        <f>SUM($C$534:$R$534)</f>
        <v/>
      </c>
    </row>
    <row r="539">
      <c r="A539" s="10" t="inlineStr">
        <is>
          <t>irr</t>
        </is>
      </c>
      <c r="B539" s="6">
        <f>IRR($C$532:$R$532)</f>
        <v/>
      </c>
    </row>
    <row r="540">
      <c r="A540" s="10" t="inlineStr">
        <is>
          <t>payback_months</t>
        </is>
      </c>
      <c r="B540" s="9">
        <f>IF(SUM($C$536:$R$536)=0,"n/a",SUM($C$536:$R$536))</f>
        <v/>
      </c>
    </row>
    <row r="543">
      <c r="A543" s="10" t="inlineStr">
        <is>
          <t>Tornado: payroll high (+20%)</t>
        </is>
      </c>
    </row>
    <row r="544">
      <c r="A544" t="inlineStr">
        <is>
          <t>param: density</t>
        </is>
      </c>
      <c r="B544">
        <f>mature_sales_density</f>
        <v/>
      </c>
    </row>
    <row r="545">
      <c r="A545" t="inlineStr">
        <is>
          <t>param: gm</t>
        </is>
      </c>
      <c r="B545">
        <f>product_gross_margin</f>
        <v/>
      </c>
    </row>
    <row r="546">
      <c r="A546" t="inlineStr">
        <is>
          <t>param: rent</t>
        </is>
      </c>
      <c r="B546">
        <f>rent_per_year</f>
        <v/>
      </c>
    </row>
    <row r="547">
      <c r="A547" t="inlineStr">
        <is>
          <t>param: capex</t>
        </is>
      </c>
      <c r="B547">
        <f>fitout_capex</f>
        <v/>
      </c>
    </row>
    <row r="548">
      <c r="A548" t="inlineStr">
        <is>
          <t>param: ramp1</t>
        </is>
      </c>
      <c r="B548">
        <f>ramp_year1</f>
        <v/>
      </c>
    </row>
    <row r="549">
      <c r="A549" t="inlineStr">
        <is>
          <t>param: ramp2</t>
        </is>
      </c>
      <c r="B549">
        <f>ramp_year2</f>
        <v/>
      </c>
    </row>
    <row r="550">
      <c r="A550" t="inlineStr">
        <is>
          <t>param: rent_mult</t>
        </is>
      </c>
      <c r="B550" t="n">
        <v>1</v>
      </c>
    </row>
    <row r="551">
      <c r="A551" t="inlineStr">
        <is>
          <t>param: payroll_mult</t>
        </is>
      </c>
      <c r="B551" t="n">
        <v>1.2</v>
      </c>
    </row>
    <row r="552">
      <c r="A552" t="inlineStr">
        <is>
          <t>param: ramp_mult</t>
        </is>
      </c>
      <c r="B552" t="n">
        <v>1</v>
      </c>
    </row>
    <row r="554">
      <c r="A554" t="inlineStr">
        <is>
          <t>Year</t>
        </is>
      </c>
      <c r="C554" t="n">
        <v>0</v>
      </c>
      <c r="D554" t="n">
        <v>1</v>
      </c>
      <c r="E554" t="n">
        <v>2</v>
      </c>
      <c r="F554" t="n">
        <v>3</v>
      </c>
      <c r="G554" t="n">
        <v>4</v>
      </c>
      <c r="H554" t="n">
        <v>5</v>
      </c>
      <c r="I554" t="n">
        <v>6</v>
      </c>
      <c r="J554" t="n">
        <v>7</v>
      </c>
      <c r="K554" t="n">
        <v>8</v>
      </c>
      <c r="L554" t="n">
        <v>9</v>
      </c>
      <c r="M554" t="n">
        <v>10</v>
      </c>
      <c r="N554" t="n">
        <v>11</v>
      </c>
      <c r="O554" t="n">
        <v>12</v>
      </c>
      <c r="P554" t="n">
        <v>13</v>
      </c>
      <c r="Q554" t="n">
        <v>14</v>
      </c>
      <c r="R554" t="n">
        <v>15</v>
      </c>
    </row>
    <row r="555">
      <c r="A555" t="inlineStr">
        <is>
          <t>Trading year flag</t>
        </is>
      </c>
      <c r="C555">
        <f>IF(AND(C554&gt;=1,C554&lt;=lease_term_years),1,0)</f>
        <v/>
      </c>
      <c r="D555">
        <f>IF(AND(D554&gt;=1,D554&lt;=lease_term_years),1,0)</f>
        <v/>
      </c>
      <c r="E555">
        <f>IF(AND(E554&gt;=1,E554&lt;=lease_term_years),1,0)</f>
        <v/>
      </c>
      <c r="F555">
        <f>IF(AND(F554&gt;=1,F554&lt;=lease_term_years),1,0)</f>
        <v/>
      </c>
      <c r="G555">
        <f>IF(AND(G554&gt;=1,G554&lt;=lease_term_years),1,0)</f>
        <v/>
      </c>
      <c r="H555">
        <f>IF(AND(H554&gt;=1,H554&lt;=lease_term_years),1,0)</f>
        <v/>
      </c>
      <c r="I555">
        <f>IF(AND(I554&gt;=1,I554&lt;=lease_term_years),1,0)</f>
        <v/>
      </c>
      <c r="J555">
        <f>IF(AND(J554&gt;=1,J554&lt;=lease_term_years),1,0)</f>
        <v/>
      </c>
      <c r="K555">
        <f>IF(AND(K554&gt;=1,K554&lt;=lease_term_years),1,0)</f>
        <v/>
      </c>
      <c r="L555">
        <f>IF(AND(L554&gt;=1,L554&lt;=lease_term_years),1,0)</f>
        <v/>
      </c>
      <c r="M555">
        <f>IF(AND(M554&gt;=1,M554&lt;=lease_term_years),1,0)</f>
        <v/>
      </c>
      <c r="N555">
        <f>IF(AND(N554&gt;=1,N554&lt;=lease_term_years),1,0)</f>
        <v/>
      </c>
      <c r="O555">
        <f>IF(AND(O554&gt;=1,O554&lt;=lease_term_years),1,0)</f>
        <v/>
      </c>
      <c r="P555">
        <f>IF(AND(P554&gt;=1,P554&lt;=lease_term_years),1,0)</f>
        <v/>
      </c>
      <c r="Q555">
        <f>IF(AND(Q554&gt;=1,Q554&lt;=lease_term_years),1,0)</f>
        <v/>
      </c>
      <c r="R555">
        <f>IF(AND(R554&gt;=1,R554&lt;=lease_term_years),1,0)</f>
        <v/>
      </c>
    </row>
    <row r="556">
      <c r="A556" t="inlineStr">
        <is>
          <t>Ramp-up (share of mature volume)</t>
        </is>
      </c>
      <c r="C556">
        <f>IF(C554=1,1-(1-$B$548)*$B$552,IF(C554=2,1-(1-$B$549)*$B$552,1))*C555</f>
        <v/>
      </c>
      <c r="D556">
        <f>IF(D554=1,1-(1-$B$548)*$B$552,IF(D554=2,1-(1-$B$549)*$B$552,1))*D555</f>
        <v/>
      </c>
      <c r="E556">
        <f>IF(E554=1,1-(1-$B$548)*$B$552,IF(E554=2,1-(1-$B$549)*$B$552,1))*E555</f>
        <v/>
      </c>
      <c r="F556">
        <f>IF(F554=1,1-(1-$B$548)*$B$552,IF(F554=2,1-(1-$B$549)*$B$552,1))*F555</f>
        <v/>
      </c>
      <c r="G556">
        <f>IF(G554=1,1-(1-$B$548)*$B$552,IF(G554=2,1-(1-$B$549)*$B$552,1))*G555</f>
        <v/>
      </c>
      <c r="H556">
        <f>IF(H554=1,1-(1-$B$548)*$B$552,IF(H554=2,1-(1-$B$549)*$B$552,1))*H555</f>
        <v/>
      </c>
      <c r="I556">
        <f>IF(I554=1,1-(1-$B$548)*$B$552,IF(I554=2,1-(1-$B$549)*$B$552,1))*I555</f>
        <v/>
      </c>
      <c r="J556">
        <f>IF(J554=1,1-(1-$B$548)*$B$552,IF(J554=2,1-(1-$B$549)*$B$552,1))*J555</f>
        <v/>
      </c>
      <c r="K556">
        <f>IF(K554=1,1-(1-$B$548)*$B$552,IF(K554=2,1-(1-$B$549)*$B$552,1))*K555</f>
        <v/>
      </c>
      <c r="L556">
        <f>IF(L554=1,1-(1-$B$548)*$B$552,IF(L554=2,1-(1-$B$549)*$B$552,1))*L555</f>
        <v/>
      </c>
      <c r="M556">
        <f>IF(M554=1,1-(1-$B$548)*$B$552,IF(M554=2,1-(1-$B$549)*$B$552,1))*M555</f>
        <v/>
      </c>
      <c r="N556">
        <f>IF(N554=1,1-(1-$B$548)*$B$552,IF(N554=2,1-(1-$B$549)*$B$552,1))*N555</f>
        <v/>
      </c>
      <c r="O556">
        <f>IF(O554=1,1-(1-$B$548)*$B$552,IF(O554=2,1-(1-$B$549)*$B$552,1))*O555</f>
        <v/>
      </c>
      <c r="P556">
        <f>IF(P554=1,1-(1-$B$548)*$B$552,IF(P554=2,1-(1-$B$549)*$B$552,1))*P555</f>
        <v/>
      </c>
      <c r="Q556">
        <f>IF(Q554=1,1-(1-$B$548)*$B$552,IF(Q554=2,1-(1-$B$549)*$B$552,1))*Q555</f>
        <v/>
      </c>
      <c r="R556">
        <f>IF(R554=1,1-(1-$B$548)*$B$552,IF(R554=2,1-(1-$B$549)*$B$552,1))*R555</f>
        <v/>
      </c>
    </row>
    <row r="557">
      <c r="A557" t="inlineStr">
        <is>
          <t>Sales volume (year-1 prices)</t>
        </is>
      </c>
      <c r="C557">
        <f>area_sqft*$B$544*C556</f>
        <v/>
      </c>
      <c r="D557">
        <f>area_sqft*$B$544*D556</f>
        <v/>
      </c>
      <c r="E557">
        <f>area_sqft*$B$544*E556</f>
        <v/>
      </c>
      <c r="F557">
        <f>area_sqft*$B$544*F556</f>
        <v/>
      </c>
      <c r="G557">
        <f>area_sqft*$B$544*G556</f>
        <v/>
      </c>
      <c r="H557">
        <f>area_sqft*$B$544*H556</f>
        <v/>
      </c>
      <c r="I557">
        <f>area_sqft*$B$544*I556</f>
        <v/>
      </c>
      <c r="J557">
        <f>area_sqft*$B$544*J556</f>
        <v/>
      </c>
      <c r="K557">
        <f>area_sqft*$B$544*K556</f>
        <v/>
      </c>
      <c r="L557">
        <f>area_sqft*$B$544*L556</f>
        <v/>
      </c>
      <c r="M557">
        <f>area_sqft*$B$544*M556</f>
        <v/>
      </c>
      <c r="N557">
        <f>area_sqft*$B$544*N556</f>
        <v/>
      </c>
      <c r="O557">
        <f>area_sqft*$B$544*O556</f>
        <v/>
      </c>
      <c r="P557">
        <f>area_sqft*$B$544*P556</f>
        <v/>
      </c>
      <c r="Q557">
        <f>area_sqft*$B$544*Q556</f>
        <v/>
      </c>
      <c r="R557">
        <f>area_sqft*$B$544*R556</f>
        <v/>
      </c>
    </row>
    <row r="558">
      <c r="A558" t="inlineStr">
        <is>
          <t>Sales growth index</t>
        </is>
      </c>
      <c r="C558">
        <f>IF(C555=1,(1+sales_growth)^(C554-1),0)</f>
        <v/>
      </c>
      <c r="D558">
        <f>IF(D555=1,(1+sales_growth)^(D554-1),0)</f>
        <v/>
      </c>
      <c r="E558">
        <f>IF(E555=1,(1+sales_growth)^(E554-1),0)</f>
        <v/>
      </c>
      <c r="F558">
        <f>IF(F555=1,(1+sales_growth)^(F554-1),0)</f>
        <v/>
      </c>
      <c r="G558">
        <f>IF(G555=1,(1+sales_growth)^(G554-1),0)</f>
        <v/>
      </c>
      <c r="H558">
        <f>IF(H555=1,(1+sales_growth)^(H554-1),0)</f>
        <v/>
      </c>
      <c r="I558">
        <f>IF(I555=1,(1+sales_growth)^(I554-1),0)</f>
        <v/>
      </c>
      <c r="J558">
        <f>IF(J555=1,(1+sales_growth)^(J554-1),0)</f>
        <v/>
      </c>
      <c r="K558">
        <f>IF(K555=1,(1+sales_growth)^(K554-1),0)</f>
        <v/>
      </c>
      <c r="L558">
        <f>IF(L555=1,(1+sales_growth)^(L554-1),0)</f>
        <v/>
      </c>
      <c r="M558">
        <f>IF(M555=1,(1+sales_growth)^(M554-1),0)</f>
        <v/>
      </c>
      <c r="N558">
        <f>IF(N555=1,(1+sales_growth)^(N554-1),0)</f>
        <v/>
      </c>
      <c r="O558">
        <f>IF(O555=1,(1+sales_growth)^(O554-1),0)</f>
        <v/>
      </c>
      <c r="P558">
        <f>IF(P555=1,(1+sales_growth)^(P554-1),0)</f>
        <v/>
      </c>
      <c r="Q558">
        <f>IF(Q555=1,(1+sales_growth)^(Q554-1),0)</f>
        <v/>
      </c>
      <c r="R558">
        <f>IF(R555=1,(1+sales_growth)^(R554-1),0)</f>
        <v/>
      </c>
    </row>
    <row r="559">
      <c r="A559" t="inlineStr">
        <is>
          <t>Sales</t>
        </is>
      </c>
      <c r="C559">
        <f>C557*C558</f>
        <v/>
      </c>
      <c r="D559">
        <f>D557*D558</f>
        <v/>
      </c>
      <c r="E559">
        <f>E557*E558</f>
        <v/>
      </c>
      <c r="F559">
        <f>F557*F558</f>
        <v/>
      </c>
      <c r="G559">
        <f>G557*G558</f>
        <v/>
      </c>
      <c r="H559">
        <f>H557*H558</f>
        <v/>
      </c>
      <c r="I559">
        <f>I557*I558</f>
        <v/>
      </c>
      <c r="J559">
        <f>J557*J558</f>
        <v/>
      </c>
      <c r="K559">
        <f>K557*K558</f>
        <v/>
      </c>
      <c r="L559">
        <f>L557*L558</f>
        <v/>
      </c>
      <c r="M559">
        <f>M557*M558</f>
        <v/>
      </c>
      <c r="N559">
        <f>N557*N558</f>
        <v/>
      </c>
      <c r="O559">
        <f>O557*O558</f>
        <v/>
      </c>
      <c r="P559">
        <f>P557*P558</f>
        <v/>
      </c>
      <c r="Q559">
        <f>Q557*Q558</f>
        <v/>
      </c>
      <c r="R559">
        <f>R557*R558</f>
        <v/>
      </c>
    </row>
    <row r="560">
      <c r="A560" t="inlineStr">
        <is>
          <t>Gross margin</t>
        </is>
      </c>
      <c r="C560">
        <f>C559*$B$545</f>
        <v/>
      </c>
      <c r="D560">
        <f>D559*$B$545</f>
        <v/>
      </c>
      <c r="E560">
        <f>E559*$B$545</f>
        <v/>
      </c>
      <c r="F560">
        <f>F559*$B$545</f>
        <v/>
      </c>
      <c r="G560">
        <f>G559*$B$545</f>
        <v/>
      </c>
      <c r="H560">
        <f>H559*$B$545</f>
        <v/>
      </c>
      <c r="I560">
        <f>I559*$B$545</f>
        <v/>
      </c>
      <c r="J560">
        <f>J559*$B$545</f>
        <v/>
      </c>
      <c r="K560">
        <f>K559*$B$545</f>
        <v/>
      </c>
      <c r="L560">
        <f>L559*$B$545</f>
        <v/>
      </c>
      <c r="M560">
        <f>M559*$B$545</f>
        <v/>
      </c>
      <c r="N560">
        <f>N559*$B$545</f>
        <v/>
      </c>
      <c r="O560">
        <f>O559*$B$545</f>
        <v/>
      </c>
      <c r="P560">
        <f>P559*$B$545</f>
        <v/>
      </c>
      <c r="Q560">
        <f>Q559*$B$545</f>
        <v/>
      </c>
      <c r="R560">
        <f>R559*$B$545</f>
        <v/>
      </c>
    </row>
    <row r="561">
      <c r="A561" t="inlineStr">
        <is>
          <t>Wage index</t>
        </is>
      </c>
      <c r="C561">
        <f>IF(C555=1,(1+wage_inflation)^(C554-1),0)</f>
        <v/>
      </c>
      <c r="D561">
        <f>IF(D555=1,(1+wage_inflation)^(D554-1),0)</f>
        <v/>
      </c>
      <c r="E561">
        <f>IF(E555=1,(1+wage_inflation)^(E554-1),0)</f>
        <v/>
      </c>
      <c r="F561">
        <f>IF(F555=1,(1+wage_inflation)^(F554-1),0)</f>
        <v/>
      </c>
      <c r="G561">
        <f>IF(G555=1,(1+wage_inflation)^(G554-1),0)</f>
        <v/>
      </c>
      <c r="H561">
        <f>IF(H555=1,(1+wage_inflation)^(H554-1),0)</f>
        <v/>
      </c>
      <c r="I561">
        <f>IF(I555=1,(1+wage_inflation)^(I554-1),0)</f>
        <v/>
      </c>
      <c r="J561">
        <f>IF(J555=1,(1+wage_inflation)^(J554-1),0)</f>
        <v/>
      </c>
      <c r="K561">
        <f>IF(K555=1,(1+wage_inflation)^(K554-1),0)</f>
        <v/>
      </c>
      <c r="L561">
        <f>IF(L555=1,(1+wage_inflation)^(L554-1),0)</f>
        <v/>
      </c>
      <c r="M561">
        <f>IF(M555=1,(1+wage_inflation)^(M554-1),0)</f>
        <v/>
      </c>
      <c r="N561">
        <f>IF(N555=1,(1+wage_inflation)^(N554-1),0)</f>
        <v/>
      </c>
      <c r="O561">
        <f>IF(O555=1,(1+wage_inflation)^(O554-1),0)</f>
        <v/>
      </c>
      <c r="P561">
        <f>IF(P555=1,(1+wage_inflation)^(P554-1),0)</f>
        <v/>
      </c>
      <c r="Q561">
        <f>IF(Q555=1,(1+wage_inflation)^(Q554-1),0)</f>
        <v/>
      </c>
      <c r="R561">
        <f>IF(R555=1,(1+wage_inflation)^(R554-1),0)</f>
        <v/>
      </c>
    </row>
    <row r="562">
      <c r="A562" t="inlineStr">
        <is>
          <t>Payroll</t>
        </is>
      </c>
      <c r="C562">
        <f>(fixed_payroll*C555+variable_cost_per_k*C557/1000)*C561*$B$551</f>
        <v/>
      </c>
      <c r="D562">
        <f>(fixed_payroll*D555+variable_cost_per_k*D557/1000)*D561*$B$551</f>
        <v/>
      </c>
      <c r="E562">
        <f>(fixed_payroll*E555+variable_cost_per_k*E557/1000)*E561*$B$551</f>
        <v/>
      </c>
      <c r="F562">
        <f>(fixed_payroll*F555+variable_cost_per_k*F557/1000)*F561*$B$551</f>
        <v/>
      </c>
      <c r="G562">
        <f>(fixed_payroll*G555+variable_cost_per_k*G557/1000)*G561*$B$551</f>
        <v/>
      </c>
      <c r="H562">
        <f>(fixed_payroll*H555+variable_cost_per_k*H557/1000)*H561*$B$551</f>
        <v/>
      </c>
      <c r="I562">
        <f>(fixed_payroll*I555+variable_cost_per_k*I557/1000)*I561*$B$551</f>
        <v/>
      </c>
      <c r="J562">
        <f>(fixed_payroll*J555+variable_cost_per_k*J557/1000)*J561*$B$551</f>
        <v/>
      </c>
      <c r="K562">
        <f>(fixed_payroll*K555+variable_cost_per_k*K557/1000)*K561*$B$551</f>
        <v/>
      </c>
      <c r="L562">
        <f>(fixed_payroll*L555+variable_cost_per_k*L557/1000)*L561*$B$551</f>
        <v/>
      </c>
      <c r="M562">
        <f>(fixed_payroll*M555+variable_cost_per_k*M557/1000)*M561*$B$551</f>
        <v/>
      </c>
      <c r="N562">
        <f>(fixed_payroll*N555+variable_cost_per_k*N557/1000)*N561*$B$551</f>
        <v/>
      </c>
      <c r="O562">
        <f>(fixed_payroll*O555+variable_cost_per_k*O557/1000)*O561*$B$551</f>
        <v/>
      </c>
      <c r="P562">
        <f>(fixed_payroll*P555+variable_cost_per_k*P557/1000)*P561*$B$551</f>
        <v/>
      </c>
      <c r="Q562">
        <f>(fixed_payroll*Q555+variable_cost_per_k*Q557/1000)*Q561*$B$551</f>
        <v/>
      </c>
      <c r="R562">
        <f>(fixed_payroll*R555+variable_cost_per_k*R557/1000)*R561*$B$551</f>
        <v/>
      </c>
    </row>
    <row r="563">
      <c r="A563" t="inlineStr">
        <is>
          <t>Rent</t>
        </is>
      </c>
      <c r="C563">
        <f>$B$546*(1+IF(C554&gt;=6,rent_review_uplift,0))*C555*$B$550</f>
        <v/>
      </c>
      <c r="D563">
        <f>$B$546*(1+IF(D554&gt;=6,rent_review_uplift,0))*D555*$B$550</f>
        <v/>
      </c>
      <c r="E563">
        <f>$B$546*(1+IF(E554&gt;=6,rent_review_uplift,0))*E555*$B$550</f>
        <v/>
      </c>
      <c r="F563">
        <f>$B$546*(1+IF(F554&gt;=6,rent_review_uplift,0))*F555*$B$550</f>
        <v/>
      </c>
      <c r="G563">
        <f>$B$546*(1+IF(G554&gt;=6,rent_review_uplift,0))*G555*$B$550</f>
        <v/>
      </c>
      <c r="H563">
        <f>$B$546*(1+IF(H554&gt;=6,rent_review_uplift,0))*H555*$B$550</f>
        <v/>
      </c>
      <c r="I563">
        <f>$B$546*(1+IF(I554&gt;=6,rent_review_uplift,0))*I555*$B$550</f>
        <v/>
      </c>
      <c r="J563">
        <f>$B$546*(1+IF(J554&gt;=6,rent_review_uplift,0))*J555*$B$550</f>
        <v/>
      </c>
      <c r="K563">
        <f>$B$546*(1+IF(K554&gt;=6,rent_review_uplift,0))*K555*$B$550</f>
        <v/>
      </c>
      <c r="L563">
        <f>$B$546*(1+IF(L554&gt;=6,rent_review_uplift,0))*L555*$B$550</f>
        <v/>
      </c>
      <c r="M563">
        <f>$B$546*(1+IF(M554&gt;=6,rent_review_uplift,0))*M555*$B$550</f>
        <v/>
      </c>
      <c r="N563">
        <f>$B$546*(1+IF(N554&gt;=6,rent_review_uplift,0))*N555*$B$550</f>
        <v/>
      </c>
      <c r="O563">
        <f>$B$546*(1+IF(O554&gt;=6,rent_review_uplift,0))*O555*$B$550</f>
        <v/>
      </c>
      <c r="P563">
        <f>$B$546*(1+IF(P554&gt;=6,rent_review_uplift,0))*P555*$B$550</f>
        <v/>
      </c>
      <c r="Q563">
        <f>$B$546*(1+IF(Q554&gt;=6,rent_review_uplift,0))*Q555*$B$550</f>
        <v/>
      </c>
      <c r="R563">
        <f>$B$546*(1+IF(R554&gt;=6,rent_review_uplift,0))*R555*$B$550</f>
        <v/>
      </c>
    </row>
    <row r="564">
      <c r="A564" t="inlineStr">
        <is>
          <t>Cost index</t>
        </is>
      </c>
      <c r="C564">
        <f>IF(C555=1,(1+cost_inflation)^(C554-1),0)</f>
        <v/>
      </c>
      <c r="D564">
        <f>IF(D555=1,(1+cost_inflation)^(D554-1),0)</f>
        <v/>
      </c>
      <c r="E564">
        <f>IF(E555=1,(1+cost_inflation)^(E554-1),0)</f>
        <v/>
      </c>
      <c r="F564">
        <f>IF(F555=1,(1+cost_inflation)^(F554-1),0)</f>
        <v/>
      </c>
      <c r="G564">
        <f>IF(G555=1,(1+cost_inflation)^(G554-1),0)</f>
        <v/>
      </c>
      <c r="H564">
        <f>IF(H555=1,(1+cost_inflation)^(H554-1),0)</f>
        <v/>
      </c>
      <c r="I564">
        <f>IF(I555=1,(1+cost_inflation)^(I554-1),0)</f>
        <v/>
      </c>
      <c r="J564">
        <f>IF(J555=1,(1+cost_inflation)^(J554-1),0)</f>
        <v/>
      </c>
      <c r="K564">
        <f>IF(K555=1,(1+cost_inflation)^(K554-1),0)</f>
        <v/>
      </c>
      <c r="L564">
        <f>IF(L555=1,(1+cost_inflation)^(L554-1),0)</f>
        <v/>
      </c>
      <c r="M564">
        <f>IF(M555=1,(1+cost_inflation)^(M554-1),0)</f>
        <v/>
      </c>
      <c r="N564">
        <f>IF(N555=1,(1+cost_inflation)^(N554-1),0)</f>
        <v/>
      </c>
      <c r="O564">
        <f>IF(O555=1,(1+cost_inflation)^(O554-1),0)</f>
        <v/>
      </c>
      <c r="P564">
        <f>IF(P555=1,(1+cost_inflation)^(P554-1),0)</f>
        <v/>
      </c>
      <c r="Q564">
        <f>IF(Q555=1,(1+cost_inflation)^(Q554-1),0)</f>
        <v/>
      </c>
      <c r="R564">
        <f>IF(R555=1,(1+cost_inflation)^(R554-1),0)</f>
        <v/>
      </c>
    </row>
    <row r="565">
      <c r="A565" t="inlineStr">
        <is>
          <t>Business rates</t>
        </is>
      </c>
      <c r="C565">
        <f>rateable_value*IF(rateable_value&lt;51000,rates_multiplier_rhl_small,IF(rateable_value&lt;500000,rates_multiplier_rhl_standard,rates_multiplier_high_value))*C564</f>
        <v/>
      </c>
      <c r="D565">
        <f>rateable_value*IF(rateable_value&lt;51000,rates_multiplier_rhl_small,IF(rateable_value&lt;500000,rates_multiplier_rhl_standard,rates_multiplier_high_value))*D564</f>
        <v/>
      </c>
      <c r="E565">
        <f>rateable_value*IF(rateable_value&lt;51000,rates_multiplier_rhl_small,IF(rateable_value&lt;500000,rates_multiplier_rhl_standard,rates_multiplier_high_value))*E564</f>
        <v/>
      </c>
      <c r="F565">
        <f>rateable_value*IF(rateable_value&lt;51000,rates_multiplier_rhl_small,IF(rateable_value&lt;500000,rates_multiplier_rhl_standard,rates_multiplier_high_value))*F564</f>
        <v/>
      </c>
      <c r="G565">
        <f>rateable_value*IF(rateable_value&lt;51000,rates_multiplier_rhl_small,IF(rateable_value&lt;500000,rates_multiplier_rhl_standard,rates_multiplier_high_value))*G564</f>
        <v/>
      </c>
      <c r="H565">
        <f>rateable_value*IF(rateable_value&lt;51000,rates_multiplier_rhl_small,IF(rateable_value&lt;500000,rates_multiplier_rhl_standard,rates_multiplier_high_value))*H564</f>
        <v/>
      </c>
      <c r="I565">
        <f>rateable_value*IF(rateable_value&lt;51000,rates_multiplier_rhl_small,IF(rateable_value&lt;500000,rates_multiplier_rhl_standard,rates_multiplier_high_value))*I564</f>
        <v/>
      </c>
      <c r="J565">
        <f>rateable_value*IF(rateable_value&lt;51000,rates_multiplier_rhl_small,IF(rateable_value&lt;500000,rates_multiplier_rhl_standard,rates_multiplier_high_value))*J564</f>
        <v/>
      </c>
      <c r="K565">
        <f>rateable_value*IF(rateable_value&lt;51000,rates_multiplier_rhl_small,IF(rateable_value&lt;500000,rates_multiplier_rhl_standard,rates_multiplier_high_value))*K564</f>
        <v/>
      </c>
      <c r="L565">
        <f>rateable_value*IF(rateable_value&lt;51000,rates_multiplier_rhl_small,IF(rateable_value&lt;500000,rates_multiplier_rhl_standard,rates_multiplier_high_value))*L564</f>
        <v/>
      </c>
      <c r="M565">
        <f>rateable_value*IF(rateable_value&lt;51000,rates_multiplier_rhl_small,IF(rateable_value&lt;500000,rates_multiplier_rhl_standard,rates_multiplier_high_value))*M564</f>
        <v/>
      </c>
      <c r="N565">
        <f>rateable_value*IF(rateable_value&lt;51000,rates_multiplier_rhl_small,IF(rateable_value&lt;500000,rates_multiplier_rhl_standard,rates_multiplier_high_value))*N564</f>
        <v/>
      </c>
      <c r="O565">
        <f>rateable_value*IF(rateable_value&lt;51000,rates_multiplier_rhl_small,IF(rateable_value&lt;500000,rates_multiplier_rhl_standard,rates_multiplier_high_value))*O564</f>
        <v/>
      </c>
      <c r="P565">
        <f>rateable_value*IF(rateable_value&lt;51000,rates_multiplier_rhl_small,IF(rateable_value&lt;500000,rates_multiplier_rhl_standard,rates_multiplier_high_value))*P564</f>
        <v/>
      </c>
      <c r="Q565">
        <f>rateable_value*IF(rateable_value&lt;51000,rates_multiplier_rhl_small,IF(rateable_value&lt;500000,rates_multiplier_rhl_standard,rates_multiplier_high_value))*Q564</f>
        <v/>
      </c>
      <c r="R565">
        <f>rateable_value*IF(rateable_value&lt;51000,rates_multiplier_rhl_small,IF(rateable_value&lt;500000,rates_multiplier_rhl_standard,rates_multiplier_high_value))*R564</f>
        <v/>
      </c>
    </row>
    <row r="566">
      <c r="A566" t="inlineStr">
        <is>
          <t>Service charge, utilities, insurance</t>
        </is>
      </c>
      <c r="C566">
        <f>occupancy_other_psf*area_sqft*C564</f>
        <v/>
      </c>
      <c r="D566">
        <f>occupancy_other_psf*area_sqft*D564</f>
        <v/>
      </c>
      <c r="E566">
        <f>occupancy_other_psf*area_sqft*E564</f>
        <v/>
      </c>
      <c r="F566">
        <f>occupancy_other_psf*area_sqft*F564</f>
        <v/>
      </c>
      <c r="G566">
        <f>occupancy_other_psf*area_sqft*G564</f>
        <v/>
      </c>
      <c r="H566">
        <f>occupancy_other_psf*area_sqft*H564</f>
        <v/>
      </c>
      <c r="I566">
        <f>occupancy_other_psf*area_sqft*I564</f>
        <v/>
      </c>
      <c r="J566">
        <f>occupancy_other_psf*area_sqft*J564</f>
        <v/>
      </c>
      <c r="K566">
        <f>occupancy_other_psf*area_sqft*K564</f>
        <v/>
      </c>
      <c r="L566">
        <f>occupancy_other_psf*area_sqft*L564</f>
        <v/>
      </c>
      <c r="M566">
        <f>occupancy_other_psf*area_sqft*M564</f>
        <v/>
      </c>
      <c r="N566">
        <f>occupancy_other_psf*area_sqft*N564</f>
        <v/>
      </c>
      <c r="O566">
        <f>occupancy_other_psf*area_sqft*O564</f>
        <v/>
      </c>
      <c r="P566">
        <f>occupancy_other_psf*area_sqft*P564</f>
        <v/>
      </c>
      <c r="Q566">
        <f>occupancy_other_psf*area_sqft*Q564</f>
        <v/>
      </c>
      <c r="R566">
        <f>occupancy_other_psf*area_sqft*R564</f>
        <v/>
      </c>
    </row>
    <row r="567">
      <c r="A567" t="inlineStr">
        <is>
          <t>Other store opex</t>
        </is>
      </c>
      <c r="C567">
        <f>C559*other_opex_pct_sales</f>
        <v/>
      </c>
      <c r="D567">
        <f>D559*other_opex_pct_sales</f>
        <v/>
      </c>
      <c r="E567">
        <f>E559*other_opex_pct_sales</f>
        <v/>
      </c>
      <c r="F567">
        <f>F559*other_opex_pct_sales</f>
        <v/>
      </c>
      <c r="G567">
        <f>G559*other_opex_pct_sales</f>
        <v/>
      </c>
      <c r="H567">
        <f>H559*other_opex_pct_sales</f>
        <v/>
      </c>
      <c r="I567">
        <f>I559*other_opex_pct_sales</f>
        <v/>
      </c>
      <c r="J567">
        <f>J559*other_opex_pct_sales</f>
        <v/>
      </c>
      <c r="K567">
        <f>K559*other_opex_pct_sales</f>
        <v/>
      </c>
      <c r="L567">
        <f>L559*other_opex_pct_sales</f>
        <v/>
      </c>
      <c r="M567">
        <f>M559*other_opex_pct_sales</f>
        <v/>
      </c>
      <c r="N567">
        <f>N559*other_opex_pct_sales</f>
        <v/>
      </c>
      <c r="O567">
        <f>O559*other_opex_pct_sales</f>
        <v/>
      </c>
      <c r="P567">
        <f>P559*other_opex_pct_sales</f>
        <v/>
      </c>
      <c r="Q567">
        <f>Q559*other_opex_pct_sales</f>
        <v/>
      </c>
      <c r="R567">
        <f>R559*other_opex_pct_sales</f>
        <v/>
      </c>
    </row>
    <row r="568">
      <c r="A568" t="inlineStr">
        <is>
          <t>Store EBITDA (4-wall)</t>
        </is>
      </c>
      <c r="C568">
        <f>C560-C562-C563-C565-C566-C567</f>
        <v/>
      </c>
      <c r="D568">
        <f>D560-D562-D563-D565-D566-D567</f>
        <v/>
      </c>
      <c r="E568">
        <f>E560-E562-E563-E565-E566-E567</f>
        <v/>
      </c>
      <c r="F568">
        <f>F560-F562-F563-F565-F566-F567</f>
        <v/>
      </c>
      <c r="G568">
        <f>G560-G562-G563-G565-G566-G567</f>
        <v/>
      </c>
      <c r="H568">
        <f>H560-H562-H563-H565-H566-H567</f>
        <v/>
      </c>
      <c r="I568">
        <f>I560-I562-I563-I565-I566-I567</f>
        <v/>
      </c>
      <c r="J568">
        <f>J560-J562-J563-J565-J566-J567</f>
        <v/>
      </c>
      <c r="K568">
        <f>K560-K562-K563-K565-K566-K567</f>
        <v/>
      </c>
      <c r="L568">
        <f>L560-L562-L563-L565-L566-L567</f>
        <v/>
      </c>
      <c r="M568">
        <f>M560-M562-M563-M565-M566-M567</f>
        <v/>
      </c>
      <c r="N568">
        <f>N560-N562-N563-N565-N566-N567</f>
        <v/>
      </c>
      <c r="O568">
        <f>O560-O562-O563-O565-O566-O567</f>
        <v/>
      </c>
      <c r="P568">
        <f>P560-P562-P563-P565-P566-P567</f>
        <v/>
      </c>
      <c r="Q568">
        <f>Q560-Q562-Q563-Q565-Q566-Q567</f>
        <v/>
      </c>
      <c r="R568">
        <f>R560-R562-R563-R565-R566-R567</f>
        <v/>
      </c>
    </row>
    <row r="569">
      <c r="A569" t="inlineStr">
        <is>
          <t>Pre-opening costs</t>
        </is>
      </c>
      <c r="C569">
        <f>IF(C554=0,pre_opening_costs,0)</f>
        <v/>
      </c>
      <c r="D569">
        <f>IF(D554=0,pre_opening_costs,0)</f>
        <v/>
      </c>
      <c r="E569">
        <f>IF(E554=0,pre_opening_costs,0)</f>
        <v/>
      </c>
      <c r="F569">
        <f>IF(F554=0,pre_opening_costs,0)</f>
        <v/>
      </c>
      <c r="G569">
        <f>IF(G554=0,pre_opening_costs,0)</f>
        <v/>
      </c>
      <c r="H569">
        <f>IF(H554=0,pre_opening_costs,0)</f>
        <v/>
      </c>
      <c r="I569">
        <f>IF(I554=0,pre_opening_costs,0)</f>
        <v/>
      </c>
      <c r="J569">
        <f>IF(J554=0,pre_opening_costs,0)</f>
        <v/>
      </c>
      <c r="K569">
        <f>IF(K554=0,pre_opening_costs,0)</f>
        <v/>
      </c>
      <c r="L569">
        <f>IF(L554=0,pre_opening_costs,0)</f>
        <v/>
      </c>
      <c r="M569">
        <f>IF(M554=0,pre_opening_costs,0)</f>
        <v/>
      </c>
      <c r="N569">
        <f>IF(N554=0,pre_opening_costs,0)</f>
        <v/>
      </c>
      <c r="O569">
        <f>IF(O554=0,pre_opening_costs,0)</f>
        <v/>
      </c>
      <c r="P569">
        <f>IF(P554=0,pre_opening_costs,0)</f>
        <v/>
      </c>
      <c r="Q569">
        <f>IF(Q554=0,pre_opening_costs,0)</f>
        <v/>
      </c>
      <c r="R569">
        <f>IF(R554=0,pre_opening_costs,0)</f>
        <v/>
      </c>
    </row>
    <row r="570">
      <c r="A570" t="inlineStr">
        <is>
          <t>Fit-out capex</t>
        </is>
      </c>
      <c r="C570">
        <f>IF(C554=0,$B$547,0)</f>
        <v/>
      </c>
      <c r="D570">
        <f>IF(D554=0,$B$547,0)</f>
        <v/>
      </c>
      <c r="E570">
        <f>IF(E554=0,$B$547,0)</f>
        <v/>
      </c>
      <c r="F570">
        <f>IF(F554=0,$B$547,0)</f>
        <v/>
      </c>
      <c r="G570">
        <f>IF(G554=0,$B$547,0)</f>
        <v/>
      </c>
      <c r="H570">
        <f>IF(H554=0,$B$547,0)</f>
        <v/>
      </c>
      <c r="I570">
        <f>IF(I554=0,$B$547,0)</f>
        <v/>
      </c>
      <c r="J570">
        <f>IF(J554=0,$B$547,0)</f>
        <v/>
      </c>
      <c r="K570">
        <f>IF(K554=0,$B$547,0)</f>
        <v/>
      </c>
      <c r="L570">
        <f>IF(L554=0,$B$547,0)</f>
        <v/>
      </c>
      <c r="M570">
        <f>IF(M554=0,$B$547,0)</f>
        <v/>
      </c>
      <c r="N570">
        <f>IF(N554=0,$B$547,0)</f>
        <v/>
      </c>
      <c r="O570">
        <f>IF(O554=0,$B$547,0)</f>
        <v/>
      </c>
      <c r="P570">
        <f>IF(P554=0,$B$547,0)</f>
        <v/>
      </c>
      <c r="Q570">
        <f>IF(Q554=0,$B$547,0)</f>
        <v/>
      </c>
      <c r="R570">
        <f>IF(R554=0,$B$547,0)</f>
        <v/>
      </c>
    </row>
    <row r="571">
      <c r="A571" t="inlineStr">
        <is>
          <t>Tax depreciation</t>
        </is>
      </c>
      <c r="C571">
        <f>IF(AND(C554&gt;=1,C554&lt;=tax_depreciation_years,C554&lt;=lease_term_years),$B$547/tax_depreciation_years,0)</f>
        <v/>
      </c>
      <c r="D571">
        <f>IF(AND(D554&gt;=1,D554&lt;=tax_depreciation_years,D554&lt;=lease_term_years),$B$547/tax_depreciation_years,0)</f>
        <v/>
      </c>
      <c r="E571">
        <f>IF(AND(E554&gt;=1,E554&lt;=tax_depreciation_years,E554&lt;=lease_term_years),$B$547/tax_depreciation_years,0)</f>
        <v/>
      </c>
      <c r="F571">
        <f>IF(AND(F554&gt;=1,F554&lt;=tax_depreciation_years,F554&lt;=lease_term_years),$B$547/tax_depreciation_years,0)</f>
        <v/>
      </c>
      <c r="G571">
        <f>IF(AND(G554&gt;=1,G554&lt;=tax_depreciation_years,G554&lt;=lease_term_years),$B$547/tax_depreciation_years,0)</f>
        <v/>
      </c>
      <c r="H571">
        <f>IF(AND(H554&gt;=1,H554&lt;=tax_depreciation_years,H554&lt;=lease_term_years),$B$547/tax_depreciation_years,0)</f>
        <v/>
      </c>
      <c r="I571">
        <f>IF(AND(I554&gt;=1,I554&lt;=tax_depreciation_years,I554&lt;=lease_term_years),$B$547/tax_depreciation_years,0)</f>
        <v/>
      </c>
      <c r="J571">
        <f>IF(AND(J554&gt;=1,J554&lt;=tax_depreciation_years,J554&lt;=lease_term_years),$B$547/tax_depreciation_years,0)</f>
        <v/>
      </c>
      <c r="K571">
        <f>IF(AND(K554&gt;=1,K554&lt;=tax_depreciation_years,K554&lt;=lease_term_years),$B$547/tax_depreciation_years,0)</f>
        <v/>
      </c>
      <c r="L571">
        <f>IF(AND(L554&gt;=1,L554&lt;=tax_depreciation_years,L554&lt;=lease_term_years),$B$547/tax_depreciation_years,0)</f>
        <v/>
      </c>
      <c r="M571">
        <f>IF(AND(M554&gt;=1,M554&lt;=tax_depreciation_years,M554&lt;=lease_term_years),$B$547/tax_depreciation_years,0)</f>
        <v/>
      </c>
      <c r="N571">
        <f>IF(AND(N554&gt;=1,N554&lt;=tax_depreciation_years,N554&lt;=lease_term_years),$B$547/tax_depreciation_years,0)</f>
        <v/>
      </c>
      <c r="O571">
        <f>IF(AND(O554&gt;=1,O554&lt;=tax_depreciation_years,O554&lt;=lease_term_years),$B$547/tax_depreciation_years,0)</f>
        <v/>
      </c>
      <c r="P571">
        <f>IF(AND(P554&gt;=1,P554&lt;=tax_depreciation_years,P554&lt;=lease_term_years),$B$547/tax_depreciation_years,0)</f>
        <v/>
      </c>
      <c r="Q571">
        <f>IF(AND(Q554&gt;=1,Q554&lt;=tax_depreciation_years,Q554&lt;=lease_term_years),$B$547/tax_depreciation_years,0)</f>
        <v/>
      </c>
      <c r="R571">
        <f>IF(AND(R554&gt;=1,R554&lt;=tax_depreciation_years,R554&lt;=lease_term_years),$B$547/tax_depreciation_years,0)</f>
        <v/>
      </c>
    </row>
    <row r="572">
      <c r="A572" t="inlineStr">
        <is>
          <t>Dilapidations</t>
        </is>
      </c>
      <c r="C572">
        <f>IF(C554=lease_term_years,dilapidations_at_exit,0)</f>
        <v/>
      </c>
      <c r="D572">
        <f>IF(D554=lease_term_years,dilapidations_at_exit,0)</f>
        <v/>
      </c>
      <c r="E572">
        <f>IF(E554=lease_term_years,dilapidations_at_exit,0)</f>
        <v/>
      </c>
      <c r="F572">
        <f>IF(F554=lease_term_years,dilapidations_at_exit,0)</f>
        <v/>
      </c>
      <c r="G572">
        <f>IF(G554=lease_term_years,dilapidations_at_exit,0)</f>
        <v/>
      </c>
      <c r="H572">
        <f>IF(H554=lease_term_years,dilapidations_at_exit,0)</f>
        <v/>
      </c>
      <c r="I572">
        <f>IF(I554=lease_term_years,dilapidations_at_exit,0)</f>
        <v/>
      </c>
      <c r="J572">
        <f>IF(J554=lease_term_years,dilapidations_at_exit,0)</f>
        <v/>
      </c>
      <c r="K572">
        <f>IF(K554=lease_term_years,dilapidations_at_exit,0)</f>
        <v/>
      </c>
      <c r="L572">
        <f>IF(L554=lease_term_years,dilapidations_at_exit,0)</f>
        <v/>
      </c>
      <c r="M572">
        <f>IF(M554=lease_term_years,dilapidations_at_exit,0)</f>
        <v/>
      </c>
      <c r="N572">
        <f>IF(N554=lease_term_years,dilapidations_at_exit,0)</f>
        <v/>
      </c>
      <c r="O572">
        <f>IF(O554=lease_term_years,dilapidations_at_exit,0)</f>
        <v/>
      </c>
      <c r="P572">
        <f>IF(P554=lease_term_years,dilapidations_at_exit,0)</f>
        <v/>
      </c>
      <c r="Q572">
        <f>IF(Q554=lease_term_years,dilapidations_at_exit,0)</f>
        <v/>
      </c>
      <c r="R572">
        <f>IF(R554=lease_term_years,dilapidations_at_exit,0)</f>
        <v/>
      </c>
    </row>
    <row r="573">
      <c r="A573" t="inlineStr">
        <is>
          <t>Taxable profit</t>
        </is>
      </c>
      <c r="C573">
        <f>C568-C569-C571-C572</f>
        <v/>
      </c>
      <c r="D573">
        <f>D568-D569-D571-D572</f>
        <v/>
      </c>
      <c r="E573">
        <f>E568-E569-E571-E572</f>
        <v/>
      </c>
      <c r="F573">
        <f>F568-F569-F571-F572</f>
        <v/>
      </c>
      <c r="G573">
        <f>G568-G569-G571-G572</f>
        <v/>
      </c>
      <c r="H573">
        <f>H568-H569-H571-H572</f>
        <v/>
      </c>
      <c r="I573">
        <f>I568-I569-I571-I572</f>
        <v/>
      </c>
      <c r="J573">
        <f>J568-J569-J571-J572</f>
        <v/>
      </c>
      <c r="K573">
        <f>K568-K569-K571-K572</f>
        <v/>
      </c>
      <c r="L573">
        <f>L568-L569-L571-L572</f>
        <v/>
      </c>
      <c r="M573">
        <f>M568-M569-M571-M572</f>
        <v/>
      </c>
      <c r="N573">
        <f>N568-N569-N571-N572</f>
        <v/>
      </c>
      <c r="O573">
        <f>O568-O569-O571-O572</f>
        <v/>
      </c>
      <c r="P573">
        <f>P568-P569-P571-P572</f>
        <v/>
      </c>
      <c r="Q573">
        <f>Q568-Q569-Q571-Q572</f>
        <v/>
      </c>
      <c r="R573">
        <f>R568-R569-R571-R572</f>
        <v/>
      </c>
    </row>
    <row r="574">
      <c r="A574" t="inlineStr">
        <is>
          <t>Tax (negative = group relief)</t>
        </is>
      </c>
      <c r="C574">
        <f>C573*tax_rate</f>
        <v/>
      </c>
      <c r="D574">
        <f>D573*tax_rate</f>
        <v/>
      </c>
      <c r="E574">
        <f>E573*tax_rate</f>
        <v/>
      </c>
      <c r="F574">
        <f>F573*tax_rate</f>
        <v/>
      </c>
      <c r="G574">
        <f>G573*tax_rate</f>
        <v/>
      </c>
      <c r="H574">
        <f>H573*tax_rate</f>
        <v/>
      </c>
      <c r="I574">
        <f>I573*tax_rate</f>
        <v/>
      </c>
      <c r="J574">
        <f>J573*tax_rate</f>
        <v/>
      </c>
      <c r="K574">
        <f>K573*tax_rate</f>
        <v/>
      </c>
      <c r="L574">
        <f>L573*tax_rate</f>
        <v/>
      </c>
      <c r="M574">
        <f>M573*tax_rate</f>
        <v/>
      </c>
      <c r="N574">
        <f>N573*tax_rate</f>
        <v/>
      </c>
      <c r="O574">
        <f>O573*tax_rate</f>
        <v/>
      </c>
      <c r="P574">
        <f>P573*tax_rate</f>
        <v/>
      </c>
      <c r="Q574">
        <f>Q573*tax_rate</f>
        <v/>
      </c>
      <c r="R574">
        <f>R573*tax_rate</f>
        <v/>
      </c>
    </row>
    <row r="575">
      <c r="A575" t="inlineStr">
        <is>
          <t>Stock held</t>
        </is>
      </c>
      <c r="C575">
        <f>IF(C554&lt;lease_term_years,stock_pct_sales*D559,0)</f>
        <v/>
      </c>
      <c r="D575">
        <f>IF(D554&lt;lease_term_years,stock_pct_sales*E559,0)</f>
        <v/>
      </c>
      <c r="E575">
        <f>IF(E554&lt;lease_term_years,stock_pct_sales*F559,0)</f>
        <v/>
      </c>
      <c r="F575">
        <f>IF(F554&lt;lease_term_years,stock_pct_sales*G559,0)</f>
        <v/>
      </c>
      <c r="G575">
        <f>IF(G554&lt;lease_term_years,stock_pct_sales*H559,0)</f>
        <v/>
      </c>
      <c r="H575">
        <f>IF(H554&lt;lease_term_years,stock_pct_sales*I559,0)</f>
        <v/>
      </c>
      <c r="I575">
        <f>IF(I554&lt;lease_term_years,stock_pct_sales*J559,0)</f>
        <v/>
      </c>
      <c r="J575">
        <f>IF(J554&lt;lease_term_years,stock_pct_sales*K559,0)</f>
        <v/>
      </c>
      <c r="K575">
        <f>IF(K554&lt;lease_term_years,stock_pct_sales*L559,0)</f>
        <v/>
      </c>
      <c r="L575">
        <f>IF(L554&lt;lease_term_years,stock_pct_sales*M559,0)</f>
        <v/>
      </c>
      <c r="M575">
        <f>IF(M554&lt;lease_term_years,stock_pct_sales*N559,0)</f>
        <v/>
      </c>
      <c r="N575">
        <f>IF(N554&lt;lease_term_years,stock_pct_sales*O559,0)</f>
        <v/>
      </c>
      <c r="O575">
        <f>IF(O554&lt;lease_term_years,stock_pct_sales*P559,0)</f>
        <v/>
      </c>
      <c r="P575">
        <f>IF(P554&lt;lease_term_years,stock_pct_sales*Q559,0)</f>
        <v/>
      </c>
      <c r="Q575">
        <f>IF(Q554&lt;lease_term_years,stock_pct_sales*R559,0)</f>
        <v/>
      </c>
      <c r="R575">
        <f>0</f>
        <v/>
      </c>
    </row>
    <row r="576">
      <c r="A576" t="inlineStr">
        <is>
          <t>Change in stock</t>
        </is>
      </c>
      <c r="C576">
        <f>C575</f>
        <v/>
      </c>
      <c r="D576">
        <f>D575-C575</f>
        <v/>
      </c>
      <c r="E576">
        <f>E575-D575</f>
        <v/>
      </c>
      <c r="F576">
        <f>F575-E575</f>
        <v/>
      </c>
      <c r="G576">
        <f>G575-F575</f>
        <v/>
      </c>
      <c r="H576">
        <f>H575-G575</f>
        <v/>
      </c>
      <c r="I576">
        <f>I575-H575</f>
        <v/>
      </c>
      <c r="J576">
        <f>J575-I575</f>
        <v/>
      </c>
      <c r="K576">
        <f>K575-J575</f>
        <v/>
      </c>
      <c r="L576">
        <f>L575-K575</f>
        <v/>
      </c>
      <c r="M576">
        <f>M575-L575</f>
        <v/>
      </c>
      <c r="N576">
        <f>N575-M575</f>
        <v/>
      </c>
      <c r="O576">
        <f>O575-N575</f>
        <v/>
      </c>
      <c r="P576">
        <f>P575-O575</f>
        <v/>
      </c>
      <c r="Q576">
        <f>Q575-P575</f>
        <v/>
      </c>
      <c r="R576">
        <f>R575-Q575</f>
        <v/>
      </c>
    </row>
    <row r="577">
      <c r="A577" t="inlineStr">
        <is>
          <t>Free cash flow</t>
        </is>
      </c>
      <c r="C577">
        <f>C568-C569-C574-C570-C576-C572</f>
        <v/>
      </c>
      <c r="D577">
        <f>D568-D569-D574-D570-D576-D572</f>
        <v/>
      </c>
      <c r="E577">
        <f>E568-E569-E574-E570-E576-E572</f>
        <v/>
      </c>
      <c r="F577">
        <f>F568-F569-F574-F570-F576-F572</f>
        <v/>
      </c>
      <c r="G577">
        <f>G568-G569-G574-G570-G576-G572</f>
        <v/>
      </c>
      <c r="H577">
        <f>H568-H569-H574-H570-H576-H572</f>
        <v/>
      </c>
      <c r="I577">
        <f>I568-I569-I574-I570-I576-I572</f>
        <v/>
      </c>
      <c r="J577">
        <f>J568-J569-J574-J570-J576-J572</f>
        <v/>
      </c>
      <c r="K577">
        <f>K568-K569-K574-K570-K576-K572</f>
        <v/>
      </c>
      <c r="L577">
        <f>L568-L569-L574-L570-L576-L572</f>
        <v/>
      </c>
      <c r="M577">
        <f>M568-M569-M574-M570-M576-M572</f>
        <v/>
      </c>
      <c r="N577">
        <f>N568-N569-N574-N570-N576-N572</f>
        <v/>
      </c>
      <c r="O577">
        <f>O568-O569-O574-O570-O576-O572</f>
        <v/>
      </c>
      <c r="P577">
        <f>P568-P569-P574-P570-P576-P572</f>
        <v/>
      </c>
      <c r="Q577">
        <f>Q568-Q569-Q574-Q570-Q576-Q572</f>
        <v/>
      </c>
      <c r="R577">
        <f>R568-R569-R574-R570-R576-R572</f>
        <v/>
      </c>
    </row>
    <row r="578">
      <c r="A578" t="inlineStr">
        <is>
          <t>Discount factor</t>
        </is>
      </c>
      <c r="C578">
        <f>1/(1+discount_rate)^C554</f>
        <v/>
      </c>
      <c r="D578">
        <f>1/(1+discount_rate)^D554</f>
        <v/>
      </c>
      <c r="E578">
        <f>1/(1+discount_rate)^E554</f>
        <v/>
      </c>
      <c r="F578">
        <f>1/(1+discount_rate)^F554</f>
        <v/>
      </c>
      <c r="G578">
        <f>1/(1+discount_rate)^G554</f>
        <v/>
      </c>
      <c r="H578">
        <f>1/(1+discount_rate)^H554</f>
        <v/>
      </c>
      <c r="I578">
        <f>1/(1+discount_rate)^I554</f>
        <v/>
      </c>
      <c r="J578">
        <f>1/(1+discount_rate)^J554</f>
        <v/>
      </c>
      <c r="K578">
        <f>1/(1+discount_rate)^K554</f>
        <v/>
      </c>
      <c r="L578">
        <f>1/(1+discount_rate)^L554</f>
        <v/>
      </c>
      <c r="M578">
        <f>1/(1+discount_rate)^M554</f>
        <v/>
      </c>
      <c r="N578">
        <f>1/(1+discount_rate)^N554</f>
        <v/>
      </c>
      <c r="O578">
        <f>1/(1+discount_rate)^O554</f>
        <v/>
      </c>
      <c r="P578">
        <f>1/(1+discount_rate)^P554</f>
        <v/>
      </c>
      <c r="Q578">
        <f>1/(1+discount_rate)^Q554</f>
        <v/>
      </c>
      <c r="R578">
        <f>1/(1+discount_rate)^R554</f>
        <v/>
      </c>
    </row>
    <row r="579">
      <c r="A579" t="inlineStr">
        <is>
          <t>Present value</t>
        </is>
      </c>
      <c r="C579">
        <f>C577*C578</f>
        <v/>
      </c>
      <c r="D579">
        <f>D577*D578</f>
        <v/>
      </c>
      <c r="E579">
        <f>E577*E578</f>
        <v/>
      </c>
      <c r="F579">
        <f>F577*F578</f>
        <v/>
      </c>
      <c r="G579">
        <f>G577*G578</f>
        <v/>
      </c>
      <c r="H579">
        <f>H577*H578</f>
        <v/>
      </c>
      <c r="I579">
        <f>I577*I578</f>
        <v/>
      </c>
      <c r="J579">
        <f>J577*J578</f>
        <v/>
      </c>
      <c r="K579">
        <f>K577*K578</f>
        <v/>
      </c>
      <c r="L579">
        <f>L577*L578</f>
        <v/>
      </c>
      <c r="M579">
        <f>M577*M578</f>
        <v/>
      </c>
      <c r="N579">
        <f>N577*N578</f>
        <v/>
      </c>
      <c r="O579">
        <f>O577*O578</f>
        <v/>
      </c>
      <c r="P579">
        <f>P577*P578</f>
        <v/>
      </c>
      <c r="Q579">
        <f>Q577*Q578</f>
        <v/>
      </c>
      <c r="R579">
        <f>R577*R578</f>
        <v/>
      </c>
    </row>
    <row r="580">
      <c r="A580" t="inlineStr">
        <is>
          <t>Cumulative cash flow</t>
        </is>
      </c>
      <c r="C580">
        <f>C577</f>
        <v/>
      </c>
      <c r="D580">
        <f>C580+D577</f>
        <v/>
      </c>
      <c r="E580">
        <f>D580+E577</f>
        <v/>
      </c>
      <c r="F580">
        <f>E580+F577</f>
        <v/>
      </c>
      <c r="G580">
        <f>F580+G577</f>
        <v/>
      </c>
      <c r="H580">
        <f>G580+H577</f>
        <v/>
      </c>
      <c r="I580">
        <f>H580+I577</f>
        <v/>
      </c>
      <c r="J580">
        <f>I580+J577</f>
        <v/>
      </c>
      <c r="K580">
        <f>J580+K577</f>
        <v/>
      </c>
      <c r="L580">
        <f>K580+L577</f>
        <v/>
      </c>
      <c r="M580">
        <f>L580+M577</f>
        <v/>
      </c>
      <c r="N580">
        <f>M580+N577</f>
        <v/>
      </c>
      <c r="O580">
        <f>N580+O577</f>
        <v/>
      </c>
      <c r="P580">
        <f>O580+P577</f>
        <v/>
      </c>
      <c r="Q580">
        <f>P580+Q577</f>
        <v/>
      </c>
      <c r="R580">
        <f>Q580+R577</f>
        <v/>
      </c>
    </row>
    <row r="581">
      <c r="A581" t="inlineStr">
        <is>
          <t>Payback helper (months)</t>
        </is>
      </c>
      <c r="C581">
        <f>0</f>
        <v/>
      </c>
      <c r="D581">
        <f>IF(AND(C580&lt;0,D580&gt;=0),(D554-1+(-C580)/D577)*12,0)</f>
        <v/>
      </c>
      <c r="E581">
        <f>IF(AND(D580&lt;0,E580&gt;=0),(E554-1+(-D580)/E577)*12,0)</f>
        <v/>
      </c>
      <c r="F581">
        <f>IF(AND(E580&lt;0,F580&gt;=0),(F554-1+(-E580)/F577)*12,0)</f>
        <v/>
      </c>
      <c r="G581">
        <f>IF(AND(F580&lt;0,G580&gt;=0),(G554-1+(-F580)/G577)*12,0)</f>
        <v/>
      </c>
      <c r="H581">
        <f>IF(AND(G580&lt;0,H580&gt;=0),(H554-1+(-G580)/H577)*12,0)</f>
        <v/>
      </c>
      <c r="I581">
        <f>IF(AND(H580&lt;0,I580&gt;=0),(I554-1+(-H580)/I577)*12,0)</f>
        <v/>
      </c>
      <c r="J581">
        <f>IF(AND(I580&lt;0,J580&gt;=0),(J554-1+(-I580)/J577)*12,0)</f>
        <v/>
      </c>
      <c r="K581">
        <f>IF(AND(J580&lt;0,K580&gt;=0),(K554-1+(-J580)/K577)*12,0)</f>
        <v/>
      </c>
      <c r="L581">
        <f>IF(AND(K580&lt;0,L580&gt;=0),(L554-1+(-K580)/L577)*12,0)</f>
        <v/>
      </c>
      <c r="M581">
        <f>IF(AND(L580&lt;0,M580&gt;=0),(M554-1+(-L580)/M577)*12,0)</f>
        <v/>
      </c>
      <c r="N581">
        <f>IF(AND(M580&lt;0,N580&gt;=0),(N554-1+(-M580)/N577)*12,0)</f>
        <v/>
      </c>
      <c r="O581">
        <f>IF(AND(N580&lt;0,O580&gt;=0),(O554-1+(-N580)/O577)*12,0)</f>
        <v/>
      </c>
      <c r="P581">
        <f>IF(AND(O580&lt;0,P580&gt;=0),(P554-1+(-O580)/P577)*12,0)</f>
        <v/>
      </c>
      <c r="Q581">
        <f>IF(AND(P580&lt;0,Q580&gt;=0),(Q554-1+(-P580)/Q577)*12,0)</f>
        <v/>
      </c>
      <c r="R581">
        <f>IF(AND(Q580&lt;0,R580&gt;=0),(R554-1+(-Q580)/R577)*12,0)</f>
        <v/>
      </c>
    </row>
    <row r="583">
      <c r="A583" s="10" t="inlineStr">
        <is>
          <t>npv</t>
        </is>
      </c>
      <c r="B583" s="8">
        <f>SUM($C$579:$R$579)</f>
        <v/>
      </c>
    </row>
    <row r="584">
      <c r="A584" s="10" t="inlineStr">
        <is>
          <t>irr</t>
        </is>
      </c>
      <c r="B584" s="6">
        <f>IRR($C$577:$R$577)</f>
        <v/>
      </c>
    </row>
    <row r="585">
      <c r="A585" s="10" t="inlineStr">
        <is>
          <t>payback_months</t>
        </is>
      </c>
      <c r="B585" s="9">
        <f>IF(SUM($C$581:$R$581)=0,"n/a",SUM($C$581:$R$581))</f>
        <v/>
      </c>
    </row>
    <row r="588">
      <c r="A588" s="10" t="inlineStr">
        <is>
          <t>Tornado: ramp_speed low (-20%)</t>
        </is>
      </c>
    </row>
    <row r="589">
      <c r="A589" t="inlineStr">
        <is>
          <t>param: density</t>
        </is>
      </c>
      <c r="B589">
        <f>mature_sales_density</f>
        <v/>
      </c>
    </row>
    <row r="590">
      <c r="A590" t="inlineStr">
        <is>
          <t>param: gm</t>
        </is>
      </c>
      <c r="B590">
        <f>product_gross_margin</f>
        <v/>
      </c>
    </row>
    <row r="591">
      <c r="A591" t="inlineStr">
        <is>
          <t>param: rent</t>
        </is>
      </c>
      <c r="B591">
        <f>rent_per_year</f>
        <v/>
      </c>
    </row>
    <row r="592">
      <c r="A592" t="inlineStr">
        <is>
          <t>param: capex</t>
        </is>
      </c>
      <c r="B592">
        <f>fitout_capex</f>
        <v/>
      </c>
    </row>
    <row r="593">
      <c r="A593" t="inlineStr">
        <is>
          <t>param: ramp1</t>
        </is>
      </c>
      <c r="B593">
        <f>ramp_year1</f>
        <v/>
      </c>
    </row>
    <row r="594">
      <c r="A594" t="inlineStr">
        <is>
          <t>param: ramp2</t>
        </is>
      </c>
      <c r="B594">
        <f>ramp_year2</f>
        <v/>
      </c>
    </row>
    <row r="595">
      <c r="A595" t="inlineStr">
        <is>
          <t>param: rent_mult</t>
        </is>
      </c>
      <c r="B595" t="n">
        <v>1</v>
      </c>
    </row>
    <row r="596">
      <c r="A596" t="inlineStr">
        <is>
          <t>param: payroll_mult</t>
        </is>
      </c>
      <c r="B596" t="n">
        <v>1</v>
      </c>
    </row>
    <row r="597">
      <c r="A597" t="inlineStr">
        <is>
          <t>param: ramp_mult</t>
        </is>
      </c>
      <c r="B597" t="n">
        <v>1.2</v>
      </c>
    </row>
    <row r="599">
      <c r="A599" t="inlineStr">
        <is>
          <t>Year</t>
        </is>
      </c>
      <c r="C599" t="n">
        <v>0</v>
      </c>
      <c r="D599" t="n">
        <v>1</v>
      </c>
      <c r="E599" t="n">
        <v>2</v>
      </c>
      <c r="F599" t="n">
        <v>3</v>
      </c>
      <c r="G599" t="n">
        <v>4</v>
      </c>
      <c r="H599" t="n">
        <v>5</v>
      </c>
      <c r="I599" t="n">
        <v>6</v>
      </c>
      <c r="J599" t="n">
        <v>7</v>
      </c>
      <c r="K599" t="n">
        <v>8</v>
      </c>
      <c r="L599" t="n">
        <v>9</v>
      </c>
      <c r="M599" t="n">
        <v>10</v>
      </c>
      <c r="N599" t="n">
        <v>11</v>
      </c>
      <c r="O599" t="n">
        <v>12</v>
      </c>
      <c r="P599" t="n">
        <v>13</v>
      </c>
      <c r="Q599" t="n">
        <v>14</v>
      </c>
      <c r="R599" t="n">
        <v>15</v>
      </c>
    </row>
    <row r="600">
      <c r="A600" t="inlineStr">
        <is>
          <t>Trading year flag</t>
        </is>
      </c>
      <c r="C600">
        <f>IF(AND(C599&gt;=1,C599&lt;=lease_term_years),1,0)</f>
        <v/>
      </c>
      <c r="D600">
        <f>IF(AND(D599&gt;=1,D599&lt;=lease_term_years),1,0)</f>
        <v/>
      </c>
      <c r="E600">
        <f>IF(AND(E599&gt;=1,E599&lt;=lease_term_years),1,0)</f>
        <v/>
      </c>
      <c r="F600">
        <f>IF(AND(F599&gt;=1,F599&lt;=lease_term_years),1,0)</f>
        <v/>
      </c>
      <c r="G600">
        <f>IF(AND(G599&gt;=1,G599&lt;=lease_term_years),1,0)</f>
        <v/>
      </c>
      <c r="H600">
        <f>IF(AND(H599&gt;=1,H599&lt;=lease_term_years),1,0)</f>
        <v/>
      </c>
      <c r="I600">
        <f>IF(AND(I599&gt;=1,I599&lt;=lease_term_years),1,0)</f>
        <v/>
      </c>
      <c r="J600">
        <f>IF(AND(J599&gt;=1,J599&lt;=lease_term_years),1,0)</f>
        <v/>
      </c>
      <c r="K600">
        <f>IF(AND(K599&gt;=1,K599&lt;=lease_term_years),1,0)</f>
        <v/>
      </c>
      <c r="L600">
        <f>IF(AND(L599&gt;=1,L599&lt;=lease_term_years),1,0)</f>
        <v/>
      </c>
      <c r="M600">
        <f>IF(AND(M599&gt;=1,M599&lt;=lease_term_years),1,0)</f>
        <v/>
      </c>
      <c r="N600">
        <f>IF(AND(N599&gt;=1,N599&lt;=lease_term_years),1,0)</f>
        <v/>
      </c>
      <c r="O600">
        <f>IF(AND(O599&gt;=1,O599&lt;=lease_term_years),1,0)</f>
        <v/>
      </c>
      <c r="P600">
        <f>IF(AND(P599&gt;=1,P599&lt;=lease_term_years),1,0)</f>
        <v/>
      </c>
      <c r="Q600">
        <f>IF(AND(Q599&gt;=1,Q599&lt;=lease_term_years),1,0)</f>
        <v/>
      </c>
      <c r="R600">
        <f>IF(AND(R599&gt;=1,R599&lt;=lease_term_years),1,0)</f>
        <v/>
      </c>
    </row>
    <row r="601">
      <c r="A601" t="inlineStr">
        <is>
          <t>Ramp-up (share of mature volume)</t>
        </is>
      </c>
      <c r="C601">
        <f>IF(C599=1,1-(1-$B$593)*$B$597,IF(C599=2,1-(1-$B$594)*$B$597,1))*C600</f>
        <v/>
      </c>
      <c r="D601">
        <f>IF(D599=1,1-(1-$B$593)*$B$597,IF(D599=2,1-(1-$B$594)*$B$597,1))*D600</f>
        <v/>
      </c>
      <c r="E601">
        <f>IF(E599=1,1-(1-$B$593)*$B$597,IF(E599=2,1-(1-$B$594)*$B$597,1))*E600</f>
        <v/>
      </c>
      <c r="F601">
        <f>IF(F599=1,1-(1-$B$593)*$B$597,IF(F599=2,1-(1-$B$594)*$B$597,1))*F600</f>
        <v/>
      </c>
      <c r="G601">
        <f>IF(G599=1,1-(1-$B$593)*$B$597,IF(G599=2,1-(1-$B$594)*$B$597,1))*G600</f>
        <v/>
      </c>
      <c r="H601">
        <f>IF(H599=1,1-(1-$B$593)*$B$597,IF(H599=2,1-(1-$B$594)*$B$597,1))*H600</f>
        <v/>
      </c>
      <c r="I601">
        <f>IF(I599=1,1-(1-$B$593)*$B$597,IF(I599=2,1-(1-$B$594)*$B$597,1))*I600</f>
        <v/>
      </c>
      <c r="J601">
        <f>IF(J599=1,1-(1-$B$593)*$B$597,IF(J599=2,1-(1-$B$594)*$B$597,1))*J600</f>
        <v/>
      </c>
      <c r="K601">
        <f>IF(K599=1,1-(1-$B$593)*$B$597,IF(K599=2,1-(1-$B$594)*$B$597,1))*K600</f>
        <v/>
      </c>
      <c r="L601">
        <f>IF(L599=1,1-(1-$B$593)*$B$597,IF(L599=2,1-(1-$B$594)*$B$597,1))*L600</f>
        <v/>
      </c>
      <c r="M601">
        <f>IF(M599=1,1-(1-$B$593)*$B$597,IF(M599=2,1-(1-$B$594)*$B$597,1))*M600</f>
        <v/>
      </c>
      <c r="N601">
        <f>IF(N599=1,1-(1-$B$593)*$B$597,IF(N599=2,1-(1-$B$594)*$B$597,1))*N600</f>
        <v/>
      </c>
      <c r="O601">
        <f>IF(O599=1,1-(1-$B$593)*$B$597,IF(O599=2,1-(1-$B$594)*$B$597,1))*O600</f>
        <v/>
      </c>
      <c r="P601">
        <f>IF(P599=1,1-(1-$B$593)*$B$597,IF(P599=2,1-(1-$B$594)*$B$597,1))*P600</f>
        <v/>
      </c>
      <c r="Q601">
        <f>IF(Q599=1,1-(1-$B$593)*$B$597,IF(Q599=2,1-(1-$B$594)*$B$597,1))*Q600</f>
        <v/>
      </c>
      <c r="R601">
        <f>IF(R599=1,1-(1-$B$593)*$B$597,IF(R599=2,1-(1-$B$594)*$B$597,1))*R600</f>
        <v/>
      </c>
    </row>
    <row r="602">
      <c r="A602" t="inlineStr">
        <is>
          <t>Sales volume (year-1 prices)</t>
        </is>
      </c>
      <c r="C602">
        <f>area_sqft*$B$589*C601</f>
        <v/>
      </c>
      <c r="D602">
        <f>area_sqft*$B$589*D601</f>
        <v/>
      </c>
      <c r="E602">
        <f>area_sqft*$B$589*E601</f>
        <v/>
      </c>
      <c r="F602">
        <f>area_sqft*$B$589*F601</f>
        <v/>
      </c>
      <c r="G602">
        <f>area_sqft*$B$589*G601</f>
        <v/>
      </c>
      <c r="H602">
        <f>area_sqft*$B$589*H601</f>
        <v/>
      </c>
      <c r="I602">
        <f>area_sqft*$B$589*I601</f>
        <v/>
      </c>
      <c r="J602">
        <f>area_sqft*$B$589*J601</f>
        <v/>
      </c>
      <c r="K602">
        <f>area_sqft*$B$589*K601</f>
        <v/>
      </c>
      <c r="L602">
        <f>area_sqft*$B$589*L601</f>
        <v/>
      </c>
      <c r="M602">
        <f>area_sqft*$B$589*M601</f>
        <v/>
      </c>
      <c r="N602">
        <f>area_sqft*$B$589*N601</f>
        <v/>
      </c>
      <c r="O602">
        <f>area_sqft*$B$589*O601</f>
        <v/>
      </c>
      <c r="P602">
        <f>area_sqft*$B$589*P601</f>
        <v/>
      </c>
      <c r="Q602">
        <f>area_sqft*$B$589*Q601</f>
        <v/>
      </c>
      <c r="R602">
        <f>area_sqft*$B$589*R601</f>
        <v/>
      </c>
    </row>
    <row r="603">
      <c r="A603" t="inlineStr">
        <is>
          <t>Sales growth index</t>
        </is>
      </c>
      <c r="C603">
        <f>IF(C600=1,(1+sales_growth)^(C599-1),0)</f>
        <v/>
      </c>
      <c r="D603">
        <f>IF(D600=1,(1+sales_growth)^(D599-1),0)</f>
        <v/>
      </c>
      <c r="E603">
        <f>IF(E600=1,(1+sales_growth)^(E599-1),0)</f>
        <v/>
      </c>
      <c r="F603">
        <f>IF(F600=1,(1+sales_growth)^(F599-1),0)</f>
        <v/>
      </c>
      <c r="G603">
        <f>IF(G600=1,(1+sales_growth)^(G599-1),0)</f>
        <v/>
      </c>
      <c r="H603">
        <f>IF(H600=1,(1+sales_growth)^(H599-1),0)</f>
        <v/>
      </c>
      <c r="I603">
        <f>IF(I600=1,(1+sales_growth)^(I599-1),0)</f>
        <v/>
      </c>
      <c r="J603">
        <f>IF(J600=1,(1+sales_growth)^(J599-1),0)</f>
        <v/>
      </c>
      <c r="K603">
        <f>IF(K600=1,(1+sales_growth)^(K599-1),0)</f>
        <v/>
      </c>
      <c r="L603">
        <f>IF(L600=1,(1+sales_growth)^(L599-1),0)</f>
        <v/>
      </c>
      <c r="M603">
        <f>IF(M600=1,(1+sales_growth)^(M599-1),0)</f>
        <v/>
      </c>
      <c r="N603">
        <f>IF(N600=1,(1+sales_growth)^(N599-1),0)</f>
        <v/>
      </c>
      <c r="O603">
        <f>IF(O600=1,(1+sales_growth)^(O599-1),0)</f>
        <v/>
      </c>
      <c r="P603">
        <f>IF(P600=1,(1+sales_growth)^(P599-1),0)</f>
        <v/>
      </c>
      <c r="Q603">
        <f>IF(Q600=1,(1+sales_growth)^(Q599-1),0)</f>
        <v/>
      </c>
      <c r="R603">
        <f>IF(R600=1,(1+sales_growth)^(R599-1),0)</f>
        <v/>
      </c>
    </row>
    <row r="604">
      <c r="A604" t="inlineStr">
        <is>
          <t>Sales</t>
        </is>
      </c>
      <c r="C604">
        <f>C602*C603</f>
        <v/>
      </c>
      <c r="D604">
        <f>D602*D603</f>
        <v/>
      </c>
      <c r="E604">
        <f>E602*E603</f>
        <v/>
      </c>
      <c r="F604">
        <f>F602*F603</f>
        <v/>
      </c>
      <c r="G604">
        <f>G602*G603</f>
        <v/>
      </c>
      <c r="H604">
        <f>H602*H603</f>
        <v/>
      </c>
      <c r="I604">
        <f>I602*I603</f>
        <v/>
      </c>
      <c r="J604">
        <f>J602*J603</f>
        <v/>
      </c>
      <c r="K604">
        <f>K602*K603</f>
        <v/>
      </c>
      <c r="L604">
        <f>L602*L603</f>
        <v/>
      </c>
      <c r="M604">
        <f>M602*M603</f>
        <v/>
      </c>
      <c r="N604">
        <f>N602*N603</f>
        <v/>
      </c>
      <c r="O604">
        <f>O602*O603</f>
        <v/>
      </c>
      <c r="P604">
        <f>P602*P603</f>
        <v/>
      </c>
      <c r="Q604">
        <f>Q602*Q603</f>
        <v/>
      </c>
      <c r="R604">
        <f>R602*R603</f>
        <v/>
      </c>
    </row>
    <row r="605">
      <c r="A605" t="inlineStr">
        <is>
          <t>Gross margin</t>
        </is>
      </c>
      <c r="C605">
        <f>C604*$B$590</f>
        <v/>
      </c>
      <c r="D605">
        <f>D604*$B$590</f>
        <v/>
      </c>
      <c r="E605">
        <f>E604*$B$590</f>
        <v/>
      </c>
      <c r="F605">
        <f>F604*$B$590</f>
        <v/>
      </c>
      <c r="G605">
        <f>G604*$B$590</f>
        <v/>
      </c>
      <c r="H605">
        <f>H604*$B$590</f>
        <v/>
      </c>
      <c r="I605">
        <f>I604*$B$590</f>
        <v/>
      </c>
      <c r="J605">
        <f>J604*$B$590</f>
        <v/>
      </c>
      <c r="K605">
        <f>K604*$B$590</f>
        <v/>
      </c>
      <c r="L605">
        <f>L604*$B$590</f>
        <v/>
      </c>
      <c r="M605">
        <f>M604*$B$590</f>
        <v/>
      </c>
      <c r="N605">
        <f>N604*$B$590</f>
        <v/>
      </c>
      <c r="O605">
        <f>O604*$B$590</f>
        <v/>
      </c>
      <c r="P605">
        <f>P604*$B$590</f>
        <v/>
      </c>
      <c r="Q605">
        <f>Q604*$B$590</f>
        <v/>
      </c>
      <c r="R605">
        <f>R604*$B$590</f>
        <v/>
      </c>
    </row>
    <row r="606">
      <c r="A606" t="inlineStr">
        <is>
          <t>Wage index</t>
        </is>
      </c>
      <c r="C606">
        <f>IF(C600=1,(1+wage_inflation)^(C599-1),0)</f>
        <v/>
      </c>
      <c r="D606">
        <f>IF(D600=1,(1+wage_inflation)^(D599-1),0)</f>
        <v/>
      </c>
      <c r="E606">
        <f>IF(E600=1,(1+wage_inflation)^(E599-1),0)</f>
        <v/>
      </c>
      <c r="F606">
        <f>IF(F600=1,(1+wage_inflation)^(F599-1),0)</f>
        <v/>
      </c>
      <c r="G606">
        <f>IF(G600=1,(1+wage_inflation)^(G599-1),0)</f>
        <v/>
      </c>
      <c r="H606">
        <f>IF(H600=1,(1+wage_inflation)^(H599-1),0)</f>
        <v/>
      </c>
      <c r="I606">
        <f>IF(I600=1,(1+wage_inflation)^(I599-1),0)</f>
        <v/>
      </c>
      <c r="J606">
        <f>IF(J600=1,(1+wage_inflation)^(J599-1),0)</f>
        <v/>
      </c>
      <c r="K606">
        <f>IF(K600=1,(1+wage_inflation)^(K599-1),0)</f>
        <v/>
      </c>
      <c r="L606">
        <f>IF(L600=1,(1+wage_inflation)^(L599-1),0)</f>
        <v/>
      </c>
      <c r="M606">
        <f>IF(M600=1,(1+wage_inflation)^(M599-1),0)</f>
        <v/>
      </c>
      <c r="N606">
        <f>IF(N600=1,(1+wage_inflation)^(N599-1),0)</f>
        <v/>
      </c>
      <c r="O606">
        <f>IF(O600=1,(1+wage_inflation)^(O599-1),0)</f>
        <v/>
      </c>
      <c r="P606">
        <f>IF(P600=1,(1+wage_inflation)^(P599-1),0)</f>
        <v/>
      </c>
      <c r="Q606">
        <f>IF(Q600=1,(1+wage_inflation)^(Q599-1),0)</f>
        <v/>
      </c>
      <c r="R606">
        <f>IF(R600=1,(1+wage_inflation)^(R599-1),0)</f>
        <v/>
      </c>
    </row>
    <row r="607">
      <c r="A607" t="inlineStr">
        <is>
          <t>Payroll</t>
        </is>
      </c>
      <c r="C607">
        <f>(fixed_payroll*C600+variable_cost_per_k*C602/1000)*C606*$B$596</f>
        <v/>
      </c>
      <c r="D607">
        <f>(fixed_payroll*D600+variable_cost_per_k*D602/1000)*D606*$B$596</f>
        <v/>
      </c>
      <c r="E607">
        <f>(fixed_payroll*E600+variable_cost_per_k*E602/1000)*E606*$B$596</f>
        <v/>
      </c>
      <c r="F607">
        <f>(fixed_payroll*F600+variable_cost_per_k*F602/1000)*F606*$B$596</f>
        <v/>
      </c>
      <c r="G607">
        <f>(fixed_payroll*G600+variable_cost_per_k*G602/1000)*G606*$B$596</f>
        <v/>
      </c>
      <c r="H607">
        <f>(fixed_payroll*H600+variable_cost_per_k*H602/1000)*H606*$B$596</f>
        <v/>
      </c>
      <c r="I607">
        <f>(fixed_payroll*I600+variable_cost_per_k*I602/1000)*I606*$B$596</f>
        <v/>
      </c>
      <c r="J607">
        <f>(fixed_payroll*J600+variable_cost_per_k*J602/1000)*J606*$B$596</f>
        <v/>
      </c>
      <c r="K607">
        <f>(fixed_payroll*K600+variable_cost_per_k*K602/1000)*K606*$B$596</f>
        <v/>
      </c>
      <c r="L607">
        <f>(fixed_payroll*L600+variable_cost_per_k*L602/1000)*L606*$B$596</f>
        <v/>
      </c>
      <c r="M607">
        <f>(fixed_payroll*M600+variable_cost_per_k*M602/1000)*M606*$B$596</f>
        <v/>
      </c>
      <c r="N607">
        <f>(fixed_payroll*N600+variable_cost_per_k*N602/1000)*N606*$B$596</f>
        <v/>
      </c>
      <c r="O607">
        <f>(fixed_payroll*O600+variable_cost_per_k*O602/1000)*O606*$B$596</f>
        <v/>
      </c>
      <c r="P607">
        <f>(fixed_payroll*P600+variable_cost_per_k*P602/1000)*P606*$B$596</f>
        <v/>
      </c>
      <c r="Q607">
        <f>(fixed_payroll*Q600+variable_cost_per_k*Q602/1000)*Q606*$B$596</f>
        <v/>
      </c>
      <c r="R607">
        <f>(fixed_payroll*R600+variable_cost_per_k*R602/1000)*R606*$B$596</f>
        <v/>
      </c>
    </row>
    <row r="608">
      <c r="A608" t="inlineStr">
        <is>
          <t>Rent</t>
        </is>
      </c>
      <c r="C608">
        <f>$B$591*(1+IF(C599&gt;=6,rent_review_uplift,0))*C600*$B$595</f>
        <v/>
      </c>
      <c r="D608">
        <f>$B$591*(1+IF(D599&gt;=6,rent_review_uplift,0))*D600*$B$595</f>
        <v/>
      </c>
      <c r="E608">
        <f>$B$591*(1+IF(E599&gt;=6,rent_review_uplift,0))*E600*$B$595</f>
        <v/>
      </c>
      <c r="F608">
        <f>$B$591*(1+IF(F599&gt;=6,rent_review_uplift,0))*F600*$B$595</f>
        <v/>
      </c>
      <c r="G608">
        <f>$B$591*(1+IF(G599&gt;=6,rent_review_uplift,0))*G600*$B$595</f>
        <v/>
      </c>
      <c r="H608">
        <f>$B$591*(1+IF(H599&gt;=6,rent_review_uplift,0))*H600*$B$595</f>
        <v/>
      </c>
      <c r="I608">
        <f>$B$591*(1+IF(I599&gt;=6,rent_review_uplift,0))*I600*$B$595</f>
        <v/>
      </c>
      <c r="J608">
        <f>$B$591*(1+IF(J599&gt;=6,rent_review_uplift,0))*J600*$B$595</f>
        <v/>
      </c>
      <c r="K608">
        <f>$B$591*(1+IF(K599&gt;=6,rent_review_uplift,0))*K600*$B$595</f>
        <v/>
      </c>
      <c r="L608">
        <f>$B$591*(1+IF(L599&gt;=6,rent_review_uplift,0))*L600*$B$595</f>
        <v/>
      </c>
      <c r="M608">
        <f>$B$591*(1+IF(M599&gt;=6,rent_review_uplift,0))*M600*$B$595</f>
        <v/>
      </c>
      <c r="N608">
        <f>$B$591*(1+IF(N599&gt;=6,rent_review_uplift,0))*N600*$B$595</f>
        <v/>
      </c>
      <c r="O608">
        <f>$B$591*(1+IF(O599&gt;=6,rent_review_uplift,0))*O600*$B$595</f>
        <v/>
      </c>
      <c r="P608">
        <f>$B$591*(1+IF(P599&gt;=6,rent_review_uplift,0))*P600*$B$595</f>
        <v/>
      </c>
      <c r="Q608">
        <f>$B$591*(1+IF(Q599&gt;=6,rent_review_uplift,0))*Q600*$B$595</f>
        <v/>
      </c>
      <c r="R608">
        <f>$B$591*(1+IF(R599&gt;=6,rent_review_uplift,0))*R600*$B$595</f>
        <v/>
      </c>
    </row>
    <row r="609">
      <c r="A609" t="inlineStr">
        <is>
          <t>Cost index</t>
        </is>
      </c>
      <c r="C609">
        <f>IF(C600=1,(1+cost_inflation)^(C599-1),0)</f>
        <v/>
      </c>
      <c r="D609">
        <f>IF(D600=1,(1+cost_inflation)^(D599-1),0)</f>
        <v/>
      </c>
      <c r="E609">
        <f>IF(E600=1,(1+cost_inflation)^(E599-1),0)</f>
        <v/>
      </c>
      <c r="F609">
        <f>IF(F600=1,(1+cost_inflation)^(F599-1),0)</f>
        <v/>
      </c>
      <c r="G609">
        <f>IF(G600=1,(1+cost_inflation)^(G599-1),0)</f>
        <v/>
      </c>
      <c r="H609">
        <f>IF(H600=1,(1+cost_inflation)^(H599-1),0)</f>
        <v/>
      </c>
      <c r="I609">
        <f>IF(I600=1,(1+cost_inflation)^(I599-1),0)</f>
        <v/>
      </c>
      <c r="J609">
        <f>IF(J600=1,(1+cost_inflation)^(J599-1),0)</f>
        <v/>
      </c>
      <c r="K609">
        <f>IF(K600=1,(1+cost_inflation)^(K599-1),0)</f>
        <v/>
      </c>
      <c r="L609">
        <f>IF(L600=1,(1+cost_inflation)^(L599-1),0)</f>
        <v/>
      </c>
      <c r="M609">
        <f>IF(M600=1,(1+cost_inflation)^(M599-1),0)</f>
        <v/>
      </c>
      <c r="N609">
        <f>IF(N600=1,(1+cost_inflation)^(N599-1),0)</f>
        <v/>
      </c>
      <c r="O609">
        <f>IF(O600=1,(1+cost_inflation)^(O599-1),0)</f>
        <v/>
      </c>
      <c r="P609">
        <f>IF(P600=1,(1+cost_inflation)^(P599-1),0)</f>
        <v/>
      </c>
      <c r="Q609">
        <f>IF(Q600=1,(1+cost_inflation)^(Q599-1),0)</f>
        <v/>
      </c>
      <c r="R609">
        <f>IF(R600=1,(1+cost_inflation)^(R599-1),0)</f>
        <v/>
      </c>
    </row>
    <row r="610">
      <c r="A610" t="inlineStr">
        <is>
          <t>Business rates</t>
        </is>
      </c>
      <c r="C610">
        <f>rateable_value*IF(rateable_value&lt;51000,rates_multiplier_rhl_small,IF(rateable_value&lt;500000,rates_multiplier_rhl_standard,rates_multiplier_high_value))*C609</f>
        <v/>
      </c>
      <c r="D610">
        <f>rateable_value*IF(rateable_value&lt;51000,rates_multiplier_rhl_small,IF(rateable_value&lt;500000,rates_multiplier_rhl_standard,rates_multiplier_high_value))*D609</f>
        <v/>
      </c>
      <c r="E610">
        <f>rateable_value*IF(rateable_value&lt;51000,rates_multiplier_rhl_small,IF(rateable_value&lt;500000,rates_multiplier_rhl_standard,rates_multiplier_high_value))*E609</f>
        <v/>
      </c>
      <c r="F610">
        <f>rateable_value*IF(rateable_value&lt;51000,rates_multiplier_rhl_small,IF(rateable_value&lt;500000,rates_multiplier_rhl_standard,rates_multiplier_high_value))*F609</f>
        <v/>
      </c>
      <c r="G610">
        <f>rateable_value*IF(rateable_value&lt;51000,rates_multiplier_rhl_small,IF(rateable_value&lt;500000,rates_multiplier_rhl_standard,rates_multiplier_high_value))*G609</f>
        <v/>
      </c>
      <c r="H610">
        <f>rateable_value*IF(rateable_value&lt;51000,rates_multiplier_rhl_small,IF(rateable_value&lt;500000,rates_multiplier_rhl_standard,rates_multiplier_high_value))*H609</f>
        <v/>
      </c>
      <c r="I610">
        <f>rateable_value*IF(rateable_value&lt;51000,rates_multiplier_rhl_small,IF(rateable_value&lt;500000,rates_multiplier_rhl_standard,rates_multiplier_high_value))*I609</f>
        <v/>
      </c>
      <c r="J610">
        <f>rateable_value*IF(rateable_value&lt;51000,rates_multiplier_rhl_small,IF(rateable_value&lt;500000,rates_multiplier_rhl_standard,rates_multiplier_high_value))*J609</f>
        <v/>
      </c>
      <c r="K610">
        <f>rateable_value*IF(rateable_value&lt;51000,rates_multiplier_rhl_small,IF(rateable_value&lt;500000,rates_multiplier_rhl_standard,rates_multiplier_high_value))*K609</f>
        <v/>
      </c>
      <c r="L610">
        <f>rateable_value*IF(rateable_value&lt;51000,rates_multiplier_rhl_small,IF(rateable_value&lt;500000,rates_multiplier_rhl_standard,rates_multiplier_high_value))*L609</f>
        <v/>
      </c>
      <c r="M610">
        <f>rateable_value*IF(rateable_value&lt;51000,rates_multiplier_rhl_small,IF(rateable_value&lt;500000,rates_multiplier_rhl_standard,rates_multiplier_high_value))*M609</f>
        <v/>
      </c>
      <c r="N610">
        <f>rateable_value*IF(rateable_value&lt;51000,rates_multiplier_rhl_small,IF(rateable_value&lt;500000,rates_multiplier_rhl_standard,rates_multiplier_high_value))*N609</f>
        <v/>
      </c>
      <c r="O610">
        <f>rateable_value*IF(rateable_value&lt;51000,rates_multiplier_rhl_small,IF(rateable_value&lt;500000,rates_multiplier_rhl_standard,rates_multiplier_high_value))*O609</f>
        <v/>
      </c>
      <c r="P610">
        <f>rateable_value*IF(rateable_value&lt;51000,rates_multiplier_rhl_small,IF(rateable_value&lt;500000,rates_multiplier_rhl_standard,rates_multiplier_high_value))*P609</f>
        <v/>
      </c>
      <c r="Q610">
        <f>rateable_value*IF(rateable_value&lt;51000,rates_multiplier_rhl_small,IF(rateable_value&lt;500000,rates_multiplier_rhl_standard,rates_multiplier_high_value))*Q609</f>
        <v/>
      </c>
      <c r="R610">
        <f>rateable_value*IF(rateable_value&lt;51000,rates_multiplier_rhl_small,IF(rateable_value&lt;500000,rates_multiplier_rhl_standard,rates_multiplier_high_value))*R609</f>
        <v/>
      </c>
    </row>
    <row r="611">
      <c r="A611" t="inlineStr">
        <is>
          <t>Service charge, utilities, insurance</t>
        </is>
      </c>
      <c r="C611">
        <f>occupancy_other_psf*area_sqft*C609</f>
        <v/>
      </c>
      <c r="D611">
        <f>occupancy_other_psf*area_sqft*D609</f>
        <v/>
      </c>
      <c r="E611">
        <f>occupancy_other_psf*area_sqft*E609</f>
        <v/>
      </c>
      <c r="F611">
        <f>occupancy_other_psf*area_sqft*F609</f>
        <v/>
      </c>
      <c r="G611">
        <f>occupancy_other_psf*area_sqft*G609</f>
        <v/>
      </c>
      <c r="H611">
        <f>occupancy_other_psf*area_sqft*H609</f>
        <v/>
      </c>
      <c r="I611">
        <f>occupancy_other_psf*area_sqft*I609</f>
        <v/>
      </c>
      <c r="J611">
        <f>occupancy_other_psf*area_sqft*J609</f>
        <v/>
      </c>
      <c r="K611">
        <f>occupancy_other_psf*area_sqft*K609</f>
        <v/>
      </c>
      <c r="L611">
        <f>occupancy_other_psf*area_sqft*L609</f>
        <v/>
      </c>
      <c r="M611">
        <f>occupancy_other_psf*area_sqft*M609</f>
        <v/>
      </c>
      <c r="N611">
        <f>occupancy_other_psf*area_sqft*N609</f>
        <v/>
      </c>
      <c r="O611">
        <f>occupancy_other_psf*area_sqft*O609</f>
        <v/>
      </c>
      <c r="P611">
        <f>occupancy_other_psf*area_sqft*P609</f>
        <v/>
      </c>
      <c r="Q611">
        <f>occupancy_other_psf*area_sqft*Q609</f>
        <v/>
      </c>
      <c r="R611">
        <f>occupancy_other_psf*area_sqft*R609</f>
        <v/>
      </c>
    </row>
    <row r="612">
      <c r="A612" t="inlineStr">
        <is>
          <t>Other store opex</t>
        </is>
      </c>
      <c r="C612">
        <f>C604*other_opex_pct_sales</f>
        <v/>
      </c>
      <c r="D612">
        <f>D604*other_opex_pct_sales</f>
        <v/>
      </c>
      <c r="E612">
        <f>E604*other_opex_pct_sales</f>
        <v/>
      </c>
      <c r="F612">
        <f>F604*other_opex_pct_sales</f>
        <v/>
      </c>
      <c r="G612">
        <f>G604*other_opex_pct_sales</f>
        <v/>
      </c>
      <c r="H612">
        <f>H604*other_opex_pct_sales</f>
        <v/>
      </c>
      <c r="I612">
        <f>I604*other_opex_pct_sales</f>
        <v/>
      </c>
      <c r="J612">
        <f>J604*other_opex_pct_sales</f>
        <v/>
      </c>
      <c r="K612">
        <f>K604*other_opex_pct_sales</f>
        <v/>
      </c>
      <c r="L612">
        <f>L604*other_opex_pct_sales</f>
        <v/>
      </c>
      <c r="M612">
        <f>M604*other_opex_pct_sales</f>
        <v/>
      </c>
      <c r="N612">
        <f>N604*other_opex_pct_sales</f>
        <v/>
      </c>
      <c r="O612">
        <f>O604*other_opex_pct_sales</f>
        <v/>
      </c>
      <c r="P612">
        <f>P604*other_opex_pct_sales</f>
        <v/>
      </c>
      <c r="Q612">
        <f>Q604*other_opex_pct_sales</f>
        <v/>
      </c>
      <c r="R612">
        <f>R604*other_opex_pct_sales</f>
        <v/>
      </c>
    </row>
    <row r="613">
      <c r="A613" t="inlineStr">
        <is>
          <t>Store EBITDA (4-wall)</t>
        </is>
      </c>
      <c r="C613">
        <f>C605-C607-C608-C610-C611-C612</f>
        <v/>
      </c>
      <c r="D613">
        <f>D605-D607-D608-D610-D611-D612</f>
        <v/>
      </c>
      <c r="E613">
        <f>E605-E607-E608-E610-E611-E612</f>
        <v/>
      </c>
      <c r="F613">
        <f>F605-F607-F608-F610-F611-F612</f>
        <v/>
      </c>
      <c r="G613">
        <f>G605-G607-G608-G610-G611-G612</f>
        <v/>
      </c>
      <c r="H613">
        <f>H605-H607-H608-H610-H611-H612</f>
        <v/>
      </c>
      <c r="I613">
        <f>I605-I607-I608-I610-I611-I612</f>
        <v/>
      </c>
      <c r="J613">
        <f>J605-J607-J608-J610-J611-J612</f>
        <v/>
      </c>
      <c r="K613">
        <f>K605-K607-K608-K610-K611-K612</f>
        <v/>
      </c>
      <c r="L613">
        <f>L605-L607-L608-L610-L611-L612</f>
        <v/>
      </c>
      <c r="M613">
        <f>M605-M607-M608-M610-M611-M612</f>
        <v/>
      </c>
      <c r="N613">
        <f>N605-N607-N608-N610-N611-N612</f>
        <v/>
      </c>
      <c r="O613">
        <f>O605-O607-O608-O610-O611-O612</f>
        <v/>
      </c>
      <c r="P613">
        <f>P605-P607-P608-P610-P611-P612</f>
        <v/>
      </c>
      <c r="Q613">
        <f>Q605-Q607-Q608-Q610-Q611-Q612</f>
        <v/>
      </c>
      <c r="R613">
        <f>R605-R607-R608-R610-R611-R612</f>
        <v/>
      </c>
    </row>
    <row r="614">
      <c r="A614" t="inlineStr">
        <is>
          <t>Pre-opening costs</t>
        </is>
      </c>
      <c r="C614">
        <f>IF(C599=0,pre_opening_costs,0)</f>
        <v/>
      </c>
      <c r="D614">
        <f>IF(D599=0,pre_opening_costs,0)</f>
        <v/>
      </c>
      <c r="E614">
        <f>IF(E599=0,pre_opening_costs,0)</f>
        <v/>
      </c>
      <c r="F614">
        <f>IF(F599=0,pre_opening_costs,0)</f>
        <v/>
      </c>
      <c r="G614">
        <f>IF(G599=0,pre_opening_costs,0)</f>
        <v/>
      </c>
      <c r="H614">
        <f>IF(H599=0,pre_opening_costs,0)</f>
        <v/>
      </c>
      <c r="I614">
        <f>IF(I599=0,pre_opening_costs,0)</f>
        <v/>
      </c>
      <c r="J614">
        <f>IF(J599=0,pre_opening_costs,0)</f>
        <v/>
      </c>
      <c r="K614">
        <f>IF(K599=0,pre_opening_costs,0)</f>
        <v/>
      </c>
      <c r="L614">
        <f>IF(L599=0,pre_opening_costs,0)</f>
        <v/>
      </c>
      <c r="M614">
        <f>IF(M599=0,pre_opening_costs,0)</f>
        <v/>
      </c>
      <c r="N614">
        <f>IF(N599=0,pre_opening_costs,0)</f>
        <v/>
      </c>
      <c r="O614">
        <f>IF(O599=0,pre_opening_costs,0)</f>
        <v/>
      </c>
      <c r="P614">
        <f>IF(P599=0,pre_opening_costs,0)</f>
        <v/>
      </c>
      <c r="Q614">
        <f>IF(Q599=0,pre_opening_costs,0)</f>
        <v/>
      </c>
      <c r="R614">
        <f>IF(R599=0,pre_opening_costs,0)</f>
        <v/>
      </c>
    </row>
    <row r="615">
      <c r="A615" t="inlineStr">
        <is>
          <t>Fit-out capex</t>
        </is>
      </c>
      <c r="C615">
        <f>IF(C599=0,$B$592,0)</f>
        <v/>
      </c>
      <c r="D615">
        <f>IF(D599=0,$B$592,0)</f>
        <v/>
      </c>
      <c r="E615">
        <f>IF(E599=0,$B$592,0)</f>
        <v/>
      </c>
      <c r="F615">
        <f>IF(F599=0,$B$592,0)</f>
        <v/>
      </c>
      <c r="G615">
        <f>IF(G599=0,$B$592,0)</f>
        <v/>
      </c>
      <c r="H615">
        <f>IF(H599=0,$B$592,0)</f>
        <v/>
      </c>
      <c r="I615">
        <f>IF(I599=0,$B$592,0)</f>
        <v/>
      </c>
      <c r="J615">
        <f>IF(J599=0,$B$592,0)</f>
        <v/>
      </c>
      <c r="K615">
        <f>IF(K599=0,$B$592,0)</f>
        <v/>
      </c>
      <c r="L615">
        <f>IF(L599=0,$B$592,0)</f>
        <v/>
      </c>
      <c r="M615">
        <f>IF(M599=0,$B$592,0)</f>
        <v/>
      </c>
      <c r="N615">
        <f>IF(N599=0,$B$592,0)</f>
        <v/>
      </c>
      <c r="O615">
        <f>IF(O599=0,$B$592,0)</f>
        <v/>
      </c>
      <c r="P615">
        <f>IF(P599=0,$B$592,0)</f>
        <v/>
      </c>
      <c r="Q615">
        <f>IF(Q599=0,$B$592,0)</f>
        <v/>
      </c>
      <c r="R615">
        <f>IF(R599=0,$B$592,0)</f>
        <v/>
      </c>
    </row>
    <row r="616">
      <c r="A616" t="inlineStr">
        <is>
          <t>Tax depreciation</t>
        </is>
      </c>
      <c r="C616">
        <f>IF(AND(C599&gt;=1,C599&lt;=tax_depreciation_years,C599&lt;=lease_term_years),$B$592/tax_depreciation_years,0)</f>
        <v/>
      </c>
      <c r="D616">
        <f>IF(AND(D599&gt;=1,D599&lt;=tax_depreciation_years,D599&lt;=lease_term_years),$B$592/tax_depreciation_years,0)</f>
        <v/>
      </c>
      <c r="E616">
        <f>IF(AND(E599&gt;=1,E599&lt;=tax_depreciation_years,E599&lt;=lease_term_years),$B$592/tax_depreciation_years,0)</f>
        <v/>
      </c>
      <c r="F616">
        <f>IF(AND(F599&gt;=1,F599&lt;=tax_depreciation_years,F599&lt;=lease_term_years),$B$592/tax_depreciation_years,0)</f>
        <v/>
      </c>
      <c r="G616">
        <f>IF(AND(G599&gt;=1,G599&lt;=tax_depreciation_years,G599&lt;=lease_term_years),$B$592/tax_depreciation_years,0)</f>
        <v/>
      </c>
      <c r="H616">
        <f>IF(AND(H599&gt;=1,H599&lt;=tax_depreciation_years,H599&lt;=lease_term_years),$B$592/tax_depreciation_years,0)</f>
        <v/>
      </c>
      <c r="I616">
        <f>IF(AND(I599&gt;=1,I599&lt;=tax_depreciation_years,I599&lt;=lease_term_years),$B$592/tax_depreciation_years,0)</f>
        <v/>
      </c>
      <c r="J616">
        <f>IF(AND(J599&gt;=1,J599&lt;=tax_depreciation_years,J599&lt;=lease_term_years),$B$592/tax_depreciation_years,0)</f>
        <v/>
      </c>
      <c r="K616">
        <f>IF(AND(K599&gt;=1,K599&lt;=tax_depreciation_years,K599&lt;=lease_term_years),$B$592/tax_depreciation_years,0)</f>
        <v/>
      </c>
      <c r="L616">
        <f>IF(AND(L599&gt;=1,L599&lt;=tax_depreciation_years,L599&lt;=lease_term_years),$B$592/tax_depreciation_years,0)</f>
        <v/>
      </c>
      <c r="M616">
        <f>IF(AND(M599&gt;=1,M599&lt;=tax_depreciation_years,M599&lt;=lease_term_years),$B$592/tax_depreciation_years,0)</f>
        <v/>
      </c>
      <c r="N616">
        <f>IF(AND(N599&gt;=1,N599&lt;=tax_depreciation_years,N599&lt;=lease_term_years),$B$592/tax_depreciation_years,0)</f>
        <v/>
      </c>
      <c r="O616">
        <f>IF(AND(O599&gt;=1,O599&lt;=tax_depreciation_years,O599&lt;=lease_term_years),$B$592/tax_depreciation_years,0)</f>
        <v/>
      </c>
      <c r="P616">
        <f>IF(AND(P599&gt;=1,P599&lt;=tax_depreciation_years,P599&lt;=lease_term_years),$B$592/tax_depreciation_years,0)</f>
        <v/>
      </c>
      <c r="Q616">
        <f>IF(AND(Q599&gt;=1,Q599&lt;=tax_depreciation_years,Q599&lt;=lease_term_years),$B$592/tax_depreciation_years,0)</f>
        <v/>
      </c>
      <c r="R616">
        <f>IF(AND(R599&gt;=1,R599&lt;=tax_depreciation_years,R599&lt;=lease_term_years),$B$592/tax_depreciation_years,0)</f>
        <v/>
      </c>
    </row>
    <row r="617">
      <c r="A617" t="inlineStr">
        <is>
          <t>Dilapidations</t>
        </is>
      </c>
      <c r="C617">
        <f>IF(C599=lease_term_years,dilapidations_at_exit,0)</f>
        <v/>
      </c>
      <c r="D617">
        <f>IF(D599=lease_term_years,dilapidations_at_exit,0)</f>
        <v/>
      </c>
      <c r="E617">
        <f>IF(E599=lease_term_years,dilapidations_at_exit,0)</f>
        <v/>
      </c>
      <c r="F617">
        <f>IF(F599=lease_term_years,dilapidations_at_exit,0)</f>
        <v/>
      </c>
      <c r="G617">
        <f>IF(G599=lease_term_years,dilapidations_at_exit,0)</f>
        <v/>
      </c>
      <c r="H617">
        <f>IF(H599=lease_term_years,dilapidations_at_exit,0)</f>
        <v/>
      </c>
      <c r="I617">
        <f>IF(I599=lease_term_years,dilapidations_at_exit,0)</f>
        <v/>
      </c>
      <c r="J617">
        <f>IF(J599=lease_term_years,dilapidations_at_exit,0)</f>
        <v/>
      </c>
      <c r="K617">
        <f>IF(K599=lease_term_years,dilapidations_at_exit,0)</f>
        <v/>
      </c>
      <c r="L617">
        <f>IF(L599=lease_term_years,dilapidations_at_exit,0)</f>
        <v/>
      </c>
      <c r="M617">
        <f>IF(M599=lease_term_years,dilapidations_at_exit,0)</f>
        <v/>
      </c>
      <c r="N617">
        <f>IF(N599=lease_term_years,dilapidations_at_exit,0)</f>
        <v/>
      </c>
      <c r="O617">
        <f>IF(O599=lease_term_years,dilapidations_at_exit,0)</f>
        <v/>
      </c>
      <c r="P617">
        <f>IF(P599=lease_term_years,dilapidations_at_exit,0)</f>
        <v/>
      </c>
      <c r="Q617">
        <f>IF(Q599=lease_term_years,dilapidations_at_exit,0)</f>
        <v/>
      </c>
      <c r="R617">
        <f>IF(R599=lease_term_years,dilapidations_at_exit,0)</f>
        <v/>
      </c>
    </row>
    <row r="618">
      <c r="A618" t="inlineStr">
        <is>
          <t>Taxable profit</t>
        </is>
      </c>
      <c r="C618">
        <f>C613-C614-C616-C617</f>
        <v/>
      </c>
      <c r="D618">
        <f>D613-D614-D616-D617</f>
        <v/>
      </c>
      <c r="E618">
        <f>E613-E614-E616-E617</f>
        <v/>
      </c>
      <c r="F618">
        <f>F613-F614-F616-F617</f>
        <v/>
      </c>
      <c r="G618">
        <f>G613-G614-G616-G617</f>
        <v/>
      </c>
      <c r="H618">
        <f>H613-H614-H616-H617</f>
        <v/>
      </c>
      <c r="I618">
        <f>I613-I614-I616-I617</f>
        <v/>
      </c>
      <c r="J618">
        <f>J613-J614-J616-J617</f>
        <v/>
      </c>
      <c r="K618">
        <f>K613-K614-K616-K617</f>
        <v/>
      </c>
      <c r="L618">
        <f>L613-L614-L616-L617</f>
        <v/>
      </c>
      <c r="M618">
        <f>M613-M614-M616-M617</f>
        <v/>
      </c>
      <c r="N618">
        <f>N613-N614-N616-N617</f>
        <v/>
      </c>
      <c r="O618">
        <f>O613-O614-O616-O617</f>
        <v/>
      </c>
      <c r="P618">
        <f>P613-P614-P616-P617</f>
        <v/>
      </c>
      <c r="Q618">
        <f>Q613-Q614-Q616-Q617</f>
        <v/>
      </c>
      <c r="R618">
        <f>R613-R614-R616-R617</f>
        <v/>
      </c>
    </row>
    <row r="619">
      <c r="A619" t="inlineStr">
        <is>
          <t>Tax (negative = group relief)</t>
        </is>
      </c>
      <c r="C619">
        <f>C618*tax_rate</f>
        <v/>
      </c>
      <c r="D619">
        <f>D618*tax_rate</f>
        <v/>
      </c>
      <c r="E619">
        <f>E618*tax_rate</f>
        <v/>
      </c>
      <c r="F619">
        <f>F618*tax_rate</f>
        <v/>
      </c>
      <c r="G619">
        <f>G618*tax_rate</f>
        <v/>
      </c>
      <c r="H619">
        <f>H618*tax_rate</f>
        <v/>
      </c>
      <c r="I619">
        <f>I618*tax_rate</f>
        <v/>
      </c>
      <c r="J619">
        <f>J618*tax_rate</f>
        <v/>
      </c>
      <c r="K619">
        <f>K618*tax_rate</f>
        <v/>
      </c>
      <c r="L619">
        <f>L618*tax_rate</f>
        <v/>
      </c>
      <c r="M619">
        <f>M618*tax_rate</f>
        <v/>
      </c>
      <c r="N619">
        <f>N618*tax_rate</f>
        <v/>
      </c>
      <c r="O619">
        <f>O618*tax_rate</f>
        <v/>
      </c>
      <c r="P619">
        <f>P618*tax_rate</f>
        <v/>
      </c>
      <c r="Q619">
        <f>Q618*tax_rate</f>
        <v/>
      </c>
      <c r="R619">
        <f>R618*tax_rate</f>
        <v/>
      </c>
    </row>
    <row r="620">
      <c r="A620" t="inlineStr">
        <is>
          <t>Stock held</t>
        </is>
      </c>
      <c r="C620">
        <f>IF(C599&lt;lease_term_years,stock_pct_sales*D604,0)</f>
        <v/>
      </c>
      <c r="D620">
        <f>IF(D599&lt;lease_term_years,stock_pct_sales*E604,0)</f>
        <v/>
      </c>
      <c r="E620">
        <f>IF(E599&lt;lease_term_years,stock_pct_sales*F604,0)</f>
        <v/>
      </c>
      <c r="F620">
        <f>IF(F599&lt;lease_term_years,stock_pct_sales*G604,0)</f>
        <v/>
      </c>
      <c r="G620">
        <f>IF(G599&lt;lease_term_years,stock_pct_sales*H604,0)</f>
        <v/>
      </c>
      <c r="H620">
        <f>IF(H599&lt;lease_term_years,stock_pct_sales*I604,0)</f>
        <v/>
      </c>
      <c r="I620">
        <f>IF(I599&lt;lease_term_years,stock_pct_sales*J604,0)</f>
        <v/>
      </c>
      <c r="J620">
        <f>IF(J599&lt;lease_term_years,stock_pct_sales*K604,0)</f>
        <v/>
      </c>
      <c r="K620">
        <f>IF(K599&lt;lease_term_years,stock_pct_sales*L604,0)</f>
        <v/>
      </c>
      <c r="L620">
        <f>IF(L599&lt;lease_term_years,stock_pct_sales*M604,0)</f>
        <v/>
      </c>
      <c r="M620">
        <f>IF(M599&lt;lease_term_years,stock_pct_sales*N604,0)</f>
        <v/>
      </c>
      <c r="N620">
        <f>IF(N599&lt;lease_term_years,stock_pct_sales*O604,0)</f>
        <v/>
      </c>
      <c r="O620">
        <f>IF(O599&lt;lease_term_years,stock_pct_sales*P604,0)</f>
        <v/>
      </c>
      <c r="P620">
        <f>IF(P599&lt;lease_term_years,stock_pct_sales*Q604,0)</f>
        <v/>
      </c>
      <c r="Q620">
        <f>IF(Q599&lt;lease_term_years,stock_pct_sales*R604,0)</f>
        <v/>
      </c>
      <c r="R620">
        <f>0</f>
        <v/>
      </c>
    </row>
    <row r="621">
      <c r="A621" t="inlineStr">
        <is>
          <t>Change in stock</t>
        </is>
      </c>
      <c r="C621">
        <f>C620</f>
        <v/>
      </c>
      <c r="D621">
        <f>D620-C620</f>
        <v/>
      </c>
      <c r="E621">
        <f>E620-D620</f>
        <v/>
      </c>
      <c r="F621">
        <f>F620-E620</f>
        <v/>
      </c>
      <c r="G621">
        <f>G620-F620</f>
        <v/>
      </c>
      <c r="H621">
        <f>H620-G620</f>
        <v/>
      </c>
      <c r="I621">
        <f>I620-H620</f>
        <v/>
      </c>
      <c r="J621">
        <f>J620-I620</f>
        <v/>
      </c>
      <c r="K621">
        <f>K620-J620</f>
        <v/>
      </c>
      <c r="L621">
        <f>L620-K620</f>
        <v/>
      </c>
      <c r="M621">
        <f>M620-L620</f>
        <v/>
      </c>
      <c r="N621">
        <f>N620-M620</f>
        <v/>
      </c>
      <c r="O621">
        <f>O620-N620</f>
        <v/>
      </c>
      <c r="P621">
        <f>P620-O620</f>
        <v/>
      </c>
      <c r="Q621">
        <f>Q620-P620</f>
        <v/>
      </c>
      <c r="R621">
        <f>R620-Q620</f>
        <v/>
      </c>
    </row>
    <row r="622">
      <c r="A622" t="inlineStr">
        <is>
          <t>Free cash flow</t>
        </is>
      </c>
      <c r="C622">
        <f>C613-C614-C619-C615-C621-C617</f>
        <v/>
      </c>
      <c r="D622">
        <f>D613-D614-D619-D615-D621-D617</f>
        <v/>
      </c>
      <c r="E622">
        <f>E613-E614-E619-E615-E621-E617</f>
        <v/>
      </c>
      <c r="F622">
        <f>F613-F614-F619-F615-F621-F617</f>
        <v/>
      </c>
      <c r="G622">
        <f>G613-G614-G619-G615-G621-G617</f>
        <v/>
      </c>
      <c r="H622">
        <f>H613-H614-H619-H615-H621-H617</f>
        <v/>
      </c>
      <c r="I622">
        <f>I613-I614-I619-I615-I621-I617</f>
        <v/>
      </c>
      <c r="J622">
        <f>J613-J614-J619-J615-J621-J617</f>
        <v/>
      </c>
      <c r="K622">
        <f>K613-K614-K619-K615-K621-K617</f>
        <v/>
      </c>
      <c r="L622">
        <f>L613-L614-L619-L615-L621-L617</f>
        <v/>
      </c>
      <c r="M622">
        <f>M613-M614-M619-M615-M621-M617</f>
        <v/>
      </c>
      <c r="N622">
        <f>N613-N614-N619-N615-N621-N617</f>
        <v/>
      </c>
      <c r="O622">
        <f>O613-O614-O619-O615-O621-O617</f>
        <v/>
      </c>
      <c r="P622">
        <f>P613-P614-P619-P615-P621-P617</f>
        <v/>
      </c>
      <c r="Q622">
        <f>Q613-Q614-Q619-Q615-Q621-Q617</f>
        <v/>
      </c>
      <c r="R622">
        <f>R613-R614-R619-R615-R621-R617</f>
        <v/>
      </c>
    </row>
    <row r="623">
      <c r="A623" t="inlineStr">
        <is>
          <t>Discount factor</t>
        </is>
      </c>
      <c r="C623">
        <f>1/(1+discount_rate)^C599</f>
        <v/>
      </c>
      <c r="D623">
        <f>1/(1+discount_rate)^D599</f>
        <v/>
      </c>
      <c r="E623">
        <f>1/(1+discount_rate)^E599</f>
        <v/>
      </c>
      <c r="F623">
        <f>1/(1+discount_rate)^F599</f>
        <v/>
      </c>
      <c r="G623">
        <f>1/(1+discount_rate)^G599</f>
        <v/>
      </c>
      <c r="H623">
        <f>1/(1+discount_rate)^H599</f>
        <v/>
      </c>
      <c r="I623">
        <f>1/(1+discount_rate)^I599</f>
        <v/>
      </c>
      <c r="J623">
        <f>1/(1+discount_rate)^J599</f>
        <v/>
      </c>
      <c r="K623">
        <f>1/(1+discount_rate)^K599</f>
        <v/>
      </c>
      <c r="L623">
        <f>1/(1+discount_rate)^L599</f>
        <v/>
      </c>
      <c r="M623">
        <f>1/(1+discount_rate)^M599</f>
        <v/>
      </c>
      <c r="N623">
        <f>1/(1+discount_rate)^N599</f>
        <v/>
      </c>
      <c r="O623">
        <f>1/(1+discount_rate)^O599</f>
        <v/>
      </c>
      <c r="P623">
        <f>1/(1+discount_rate)^P599</f>
        <v/>
      </c>
      <c r="Q623">
        <f>1/(1+discount_rate)^Q599</f>
        <v/>
      </c>
      <c r="R623">
        <f>1/(1+discount_rate)^R599</f>
        <v/>
      </c>
    </row>
    <row r="624">
      <c r="A624" t="inlineStr">
        <is>
          <t>Present value</t>
        </is>
      </c>
      <c r="C624">
        <f>C622*C623</f>
        <v/>
      </c>
      <c r="D624">
        <f>D622*D623</f>
        <v/>
      </c>
      <c r="E624">
        <f>E622*E623</f>
        <v/>
      </c>
      <c r="F624">
        <f>F622*F623</f>
        <v/>
      </c>
      <c r="G624">
        <f>G622*G623</f>
        <v/>
      </c>
      <c r="H624">
        <f>H622*H623</f>
        <v/>
      </c>
      <c r="I624">
        <f>I622*I623</f>
        <v/>
      </c>
      <c r="J624">
        <f>J622*J623</f>
        <v/>
      </c>
      <c r="K624">
        <f>K622*K623</f>
        <v/>
      </c>
      <c r="L624">
        <f>L622*L623</f>
        <v/>
      </c>
      <c r="M624">
        <f>M622*M623</f>
        <v/>
      </c>
      <c r="N624">
        <f>N622*N623</f>
        <v/>
      </c>
      <c r="O624">
        <f>O622*O623</f>
        <v/>
      </c>
      <c r="P624">
        <f>P622*P623</f>
        <v/>
      </c>
      <c r="Q624">
        <f>Q622*Q623</f>
        <v/>
      </c>
      <c r="R624">
        <f>R622*R623</f>
        <v/>
      </c>
    </row>
    <row r="625">
      <c r="A625" t="inlineStr">
        <is>
          <t>Cumulative cash flow</t>
        </is>
      </c>
      <c r="C625">
        <f>C622</f>
        <v/>
      </c>
      <c r="D625">
        <f>C625+D622</f>
        <v/>
      </c>
      <c r="E625">
        <f>D625+E622</f>
        <v/>
      </c>
      <c r="F625">
        <f>E625+F622</f>
        <v/>
      </c>
      <c r="G625">
        <f>F625+G622</f>
        <v/>
      </c>
      <c r="H625">
        <f>G625+H622</f>
        <v/>
      </c>
      <c r="I625">
        <f>H625+I622</f>
        <v/>
      </c>
      <c r="J625">
        <f>I625+J622</f>
        <v/>
      </c>
      <c r="K625">
        <f>J625+K622</f>
        <v/>
      </c>
      <c r="L625">
        <f>K625+L622</f>
        <v/>
      </c>
      <c r="M625">
        <f>L625+M622</f>
        <v/>
      </c>
      <c r="N625">
        <f>M625+N622</f>
        <v/>
      </c>
      <c r="O625">
        <f>N625+O622</f>
        <v/>
      </c>
      <c r="P625">
        <f>O625+P622</f>
        <v/>
      </c>
      <c r="Q625">
        <f>P625+Q622</f>
        <v/>
      </c>
      <c r="R625">
        <f>Q625+R622</f>
        <v/>
      </c>
    </row>
    <row r="626">
      <c r="A626" t="inlineStr">
        <is>
          <t>Payback helper (months)</t>
        </is>
      </c>
      <c r="C626">
        <f>0</f>
        <v/>
      </c>
      <c r="D626">
        <f>IF(AND(C625&lt;0,D625&gt;=0),(D599-1+(-C625)/D622)*12,0)</f>
        <v/>
      </c>
      <c r="E626">
        <f>IF(AND(D625&lt;0,E625&gt;=0),(E599-1+(-D625)/E622)*12,0)</f>
        <v/>
      </c>
      <c r="F626">
        <f>IF(AND(E625&lt;0,F625&gt;=0),(F599-1+(-E625)/F622)*12,0)</f>
        <v/>
      </c>
      <c r="G626">
        <f>IF(AND(F625&lt;0,G625&gt;=0),(G599-1+(-F625)/G622)*12,0)</f>
        <v/>
      </c>
      <c r="H626">
        <f>IF(AND(G625&lt;0,H625&gt;=0),(H599-1+(-G625)/H622)*12,0)</f>
        <v/>
      </c>
      <c r="I626">
        <f>IF(AND(H625&lt;0,I625&gt;=0),(I599-1+(-H625)/I622)*12,0)</f>
        <v/>
      </c>
      <c r="J626">
        <f>IF(AND(I625&lt;0,J625&gt;=0),(J599-1+(-I625)/J622)*12,0)</f>
        <v/>
      </c>
      <c r="K626">
        <f>IF(AND(J625&lt;0,K625&gt;=0),(K599-1+(-J625)/K622)*12,0)</f>
        <v/>
      </c>
      <c r="L626">
        <f>IF(AND(K625&lt;0,L625&gt;=0),(L599-1+(-K625)/L622)*12,0)</f>
        <v/>
      </c>
      <c r="M626">
        <f>IF(AND(L625&lt;0,M625&gt;=0),(M599-1+(-L625)/M622)*12,0)</f>
        <v/>
      </c>
      <c r="N626">
        <f>IF(AND(M625&lt;0,N625&gt;=0),(N599-1+(-M625)/N622)*12,0)</f>
        <v/>
      </c>
      <c r="O626">
        <f>IF(AND(N625&lt;0,O625&gt;=0),(O599-1+(-N625)/O622)*12,0)</f>
        <v/>
      </c>
      <c r="P626">
        <f>IF(AND(O625&lt;0,P625&gt;=0),(P599-1+(-O625)/P622)*12,0)</f>
        <v/>
      </c>
      <c r="Q626">
        <f>IF(AND(P625&lt;0,Q625&gt;=0),(Q599-1+(-P625)/Q622)*12,0)</f>
        <v/>
      </c>
      <c r="R626">
        <f>IF(AND(Q625&lt;0,R625&gt;=0),(R599-1+(-Q625)/R622)*12,0)</f>
        <v/>
      </c>
    </row>
    <row r="628">
      <c r="A628" s="10" t="inlineStr">
        <is>
          <t>npv</t>
        </is>
      </c>
      <c r="B628" s="8">
        <f>SUM($C$624:$R$624)</f>
        <v/>
      </c>
    </row>
    <row r="629">
      <c r="A629" s="10" t="inlineStr">
        <is>
          <t>irr</t>
        </is>
      </c>
      <c r="B629" s="6">
        <f>IRR($C$622:$R$622)</f>
        <v/>
      </c>
    </row>
    <row r="630">
      <c r="A630" s="10" t="inlineStr">
        <is>
          <t>payback_months</t>
        </is>
      </c>
      <c r="B630" s="9">
        <f>IF(SUM($C$626:$R$626)=0,"n/a",SUM($C$626:$R$626))</f>
        <v/>
      </c>
    </row>
    <row r="633">
      <c r="A633" s="10" t="inlineStr">
        <is>
          <t>Tornado: ramp_speed high (+20%)</t>
        </is>
      </c>
    </row>
    <row r="634">
      <c r="A634" t="inlineStr">
        <is>
          <t>param: density</t>
        </is>
      </c>
      <c r="B634">
        <f>mature_sales_density</f>
        <v/>
      </c>
    </row>
    <row r="635">
      <c r="A635" t="inlineStr">
        <is>
          <t>param: gm</t>
        </is>
      </c>
      <c r="B635">
        <f>product_gross_margin</f>
        <v/>
      </c>
    </row>
    <row r="636">
      <c r="A636" t="inlineStr">
        <is>
          <t>param: rent</t>
        </is>
      </c>
      <c r="B636">
        <f>rent_per_year</f>
        <v/>
      </c>
    </row>
    <row r="637">
      <c r="A637" t="inlineStr">
        <is>
          <t>param: capex</t>
        </is>
      </c>
      <c r="B637">
        <f>fitout_capex</f>
        <v/>
      </c>
    </row>
    <row r="638">
      <c r="A638" t="inlineStr">
        <is>
          <t>param: ramp1</t>
        </is>
      </c>
      <c r="B638">
        <f>ramp_year1</f>
        <v/>
      </c>
    </row>
    <row r="639">
      <c r="A639" t="inlineStr">
        <is>
          <t>param: ramp2</t>
        </is>
      </c>
      <c r="B639">
        <f>ramp_year2</f>
        <v/>
      </c>
    </row>
    <row r="640">
      <c r="A640" t="inlineStr">
        <is>
          <t>param: rent_mult</t>
        </is>
      </c>
      <c r="B640" t="n">
        <v>1</v>
      </c>
    </row>
    <row r="641">
      <c r="A641" t="inlineStr">
        <is>
          <t>param: payroll_mult</t>
        </is>
      </c>
      <c r="B641" t="n">
        <v>1</v>
      </c>
    </row>
    <row r="642">
      <c r="A642" t="inlineStr">
        <is>
          <t>param: ramp_mult</t>
        </is>
      </c>
      <c r="B642" t="n">
        <v>0.8</v>
      </c>
    </row>
    <row r="644">
      <c r="A644" t="inlineStr">
        <is>
          <t>Year</t>
        </is>
      </c>
      <c r="C644" t="n">
        <v>0</v>
      </c>
      <c r="D644" t="n">
        <v>1</v>
      </c>
      <c r="E644" t="n">
        <v>2</v>
      </c>
      <c r="F644" t="n">
        <v>3</v>
      </c>
      <c r="G644" t="n">
        <v>4</v>
      </c>
      <c r="H644" t="n">
        <v>5</v>
      </c>
      <c r="I644" t="n">
        <v>6</v>
      </c>
      <c r="J644" t="n">
        <v>7</v>
      </c>
      <c r="K644" t="n">
        <v>8</v>
      </c>
      <c r="L644" t="n">
        <v>9</v>
      </c>
      <c r="M644" t="n">
        <v>10</v>
      </c>
      <c r="N644" t="n">
        <v>11</v>
      </c>
      <c r="O644" t="n">
        <v>12</v>
      </c>
      <c r="P644" t="n">
        <v>13</v>
      </c>
      <c r="Q644" t="n">
        <v>14</v>
      </c>
      <c r="R644" t="n">
        <v>15</v>
      </c>
    </row>
    <row r="645">
      <c r="A645" t="inlineStr">
        <is>
          <t>Trading year flag</t>
        </is>
      </c>
      <c r="C645">
        <f>IF(AND(C644&gt;=1,C644&lt;=lease_term_years),1,0)</f>
        <v/>
      </c>
      <c r="D645">
        <f>IF(AND(D644&gt;=1,D644&lt;=lease_term_years),1,0)</f>
        <v/>
      </c>
      <c r="E645">
        <f>IF(AND(E644&gt;=1,E644&lt;=lease_term_years),1,0)</f>
        <v/>
      </c>
      <c r="F645">
        <f>IF(AND(F644&gt;=1,F644&lt;=lease_term_years),1,0)</f>
        <v/>
      </c>
      <c r="G645">
        <f>IF(AND(G644&gt;=1,G644&lt;=lease_term_years),1,0)</f>
        <v/>
      </c>
      <c r="H645">
        <f>IF(AND(H644&gt;=1,H644&lt;=lease_term_years),1,0)</f>
        <v/>
      </c>
      <c r="I645">
        <f>IF(AND(I644&gt;=1,I644&lt;=lease_term_years),1,0)</f>
        <v/>
      </c>
      <c r="J645">
        <f>IF(AND(J644&gt;=1,J644&lt;=lease_term_years),1,0)</f>
        <v/>
      </c>
      <c r="K645">
        <f>IF(AND(K644&gt;=1,K644&lt;=lease_term_years),1,0)</f>
        <v/>
      </c>
      <c r="L645">
        <f>IF(AND(L644&gt;=1,L644&lt;=lease_term_years),1,0)</f>
        <v/>
      </c>
      <c r="M645">
        <f>IF(AND(M644&gt;=1,M644&lt;=lease_term_years),1,0)</f>
        <v/>
      </c>
      <c r="N645">
        <f>IF(AND(N644&gt;=1,N644&lt;=lease_term_years),1,0)</f>
        <v/>
      </c>
      <c r="O645">
        <f>IF(AND(O644&gt;=1,O644&lt;=lease_term_years),1,0)</f>
        <v/>
      </c>
      <c r="P645">
        <f>IF(AND(P644&gt;=1,P644&lt;=lease_term_years),1,0)</f>
        <v/>
      </c>
      <c r="Q645">
        <f>IF(AND(Q644&gt;=1,Q644&lt;=lease_term_years),1,0)</f>
        <v/>
      </c>
      <c r="R645">
        <f>IF(AND(R644&gt;=1,R644&lt;=lease_term_years),1,0)</f>
        <v/>
      </c>
    </row>
    <row r="646">
      <c r="A646" t="inlineStr">
        <is>
          <t>Ramp-up (share of mature volume)</t>
        </is>
      </c>
      <c r="C646">
        <f>IF(C644=1,1-(1-$B$638)*$B$642,IF(C644=2,1-(1-$B$639)*$B$642,1))*C645</f>
        <v/>
      </c>
      <c r="D646">
        <f>IF(D644=1,1-(1-$B$638)*$B$642,IF(D644=2,1-(1-$B$639)*$B$642,1))*D645</f>
        <v/>
      </c>
      <c r="E646">
        <f>IF(E644=1,1-(1-$B$638)*$B$642,IF(E644=2,1-(1-$B$639)*$B$642,1))*E645</f>
        <v/>
      </c>
      <c r="F646">
        <f>IF(F644=1,1-(1-$B$638)*$B$642,IF(F644=2,1-(1-$B$639)*$B$642,1))*F645</f>
        <v/>
      </c>
      <c r="G646">
        <f>IF(G644=1,1-(1-$B$638)*$B$642,IF(G644=2,1-(1-$B$639)*$B$642,1))*G645</f>
        <v/>
      </c>
      <c r="H646">
        <f>IF(H644=1,1-(1-$B$638)*$B$642,IF(H644=2,1-(1-$B$639)*$B$642,1))*H645</f>
        <v/>
      </c>
      <c r="I646">
        <f>IF(I644=1,1-(1-$B$638)*$B$642,IF(I644=2,1-(1-$B$639)*$B$642,1))*I645</f>
        <v/>
      </c>
      <c r="J646">
        <f>IF(J644=1,1-(1-$B$638)*$B$642,IF(J644=2,1-(1-$B$639)*$B$642,1))*J645</f>
        <v/>
      </c>
      <c r="K646">
        <f>IF(K644=1,1-(1-$B$638)*$B$642,IF(K644=2,1-(1-$B$639)*$B$642,1))*K645</f>
        <v/>
      </c>
      <c r="L646">
        <f>IF(L644=1,1-(1-$B$638)*$B$642,IF(L644=2,1-(1-$B$639)*$B$642,1))*L645</f>
        <v/>
      </c>
      <c r="M646">
        <f>IF(M644=1,1-(1-$B$638)*$B$642,IF(M644=2,1-(1-$B$639)*$B$642,1))*M645</f>
        <v/>
      </c>
      <c r="N646">
        <f>IF(N644=1,1-(1-$B$638)*$B$642,IF(N644=2,1-(1-$B$639)*$B$642,1))*N645</f>
        <v/>
      </c>
      <c r="O646">
        <f>IF(O644=1,1-(1-$B$638)*$B$642,IF(O644=2,1-(1-$B$639)*$B$642,1))*O645</f>
        <v/>
      </c>
      <c r="P646">
        <f>IF(P644=1,1-(1-$B$638)*$B$642,IF(P644=2,1-(1-$B$639)*$B$642,1))*P645</f>
        <v/>
      </c>
      <c r="Q646">
        <f>IF(Q644=1,1-(1-$B$638)*$B$642,IF(Q644=2,1-(1-$B$639)*$B$642,1))*Q645</f>
        <v/>
      </c>
      <c r="R646">
        <f>IF(R644=1,1-(1-$B$638)*$B$642,IF(R644=2,1-(1-$B$639)*$B$642,1))*R645</f>
        <v/>
      </c>
    </row>
    <row r="647">
      <c r="A647" t="inlineStr">
        <is>
          <t>Sales volume (year-1 prices)</t>
        </is>
      </c>
      <c r="C647">
        <f>area_sqft*$B$634*C646</f>
        <v/>
      </c>
      <c r="D647">
        <f>area_sqft*$B$634*D646</f>
        <v/>
      </c>
      <c r="E647">
        <f>area_sqft*$B$634*E646</f>
        <v/>
      </c>
      <c r="F647">
        <f>area_sqft*$B$634*F646</f>
        <v/>
      </c>
      <c r="G647">
        <f>area_sqft*$B$634*G646</f>
        <v/>
      </c>
      <c r="H647">
        <f>area_sqft*$B$634*H646</f>
        <v/>
      </c>
      <c r="I647">
        <f>area_sqft*$B$634*I646</f>
        <v/>
      </c>
      <c r="J647">
        <f>area_sqft*$B$634*J646</f>
        <v/>
      </c>
      <c r="K647">
        <f>area_sqft*$B$634*K646</f>
        <v/>
      </c>
      <c r="L647">
        <f>area_sqft*$B$634*L646</f>
        <v/>
      </c>
      <c r="M647">
        <f>area_sqft*$B$634*M646</f>
        <v/>
      </c>
      <c r="N647">
        <f>area_sqft*$B$634*N646</f>
        <v/>
      </c>
      <c r="O647">
        <f>area_sqft*$B$634*O646</f>
        <v/>
      </c>
      <c r="P647">
        <f>area_sqft*$B$634*P646</f>
        <v/>
      </c>
      <c r="Q647">
        <f>area_sqft*$B$634*Q646</f>
        <v/>
      </c>
      <c r="R647">
        <f>area_sqft*$B$634*R646</f>
        <v/>
      </c>
    </row>
    <row r="648">
      <c r="A648" t="inlineStr">
        <is>
          <t>Sales growth index</t>
        </is>
      </c>
      <c r="C648">
        <f>IF(C645=1,(1+sales_growth)^(C644-1),0)</f>
        <v/>
      </c>
      <c r="D648">
        <f>IF(D645=1,(1+sales_growth)^(D644-1),0)</f>
        <v/>
      </c>
      <c r="E648">
        <f>IF(E645=1,(1+sales_growth)^(E644-1),0)</f>
        <v/>
      </c>
      <c r="F648">
        <f>IF(F645=1,(1+sales_growth)^(F644-1),0)</f>
        <v/>
      </c>
      <c r="G648">
        <f>IF(G645=1,(1+sales_growth)^(G644-1),0)</f>
        <v/>
      </c>
      <c r="H648">
        <f>IF(H645=1,(1+sales_growth)^(H644-1),0)</f>
        <v/>
      </c>
      <c r="I648">
        <f>IF(I645=1,(1+sales_growth)^(I644-1),0)</f>
        <v/>
      </c>
      <c r="J648">
        <f>IF(J645=1,(1+sales_growth)^(J644-1),0)</f>
        <v/>
      </c>
      <c r="K648">
        <f>IF(K645=1,(1+sales_growth)^(K644-1),0)</f>
        <v/>
      </c>
      <c r="L648">
        <f>IF(L645=1,(1+sales_growth)^(L644-1),0)</f>
        <v/>
      </c>
      <c r="M648">
        <f>IF(M645=1,(1+sales_growth)^(M644-1),0)</f>
        <v/>
      </c>
      <c r="N648">
        <f>IF(N645=1,(1+sales_growth)^(N644-1),0)</f>
        <v/>
      </c>
      <c r="O648">
        <f>IF(O645=1,(1+sales_growth)^(O644-1),0)</f>
        <v/>
      </c>
      <c r="P648">
        <f>IF(P645=1,(1+sales_growth)^(P644-1),0)</f>
        <v/>
      </c>
      <c r="Q648">
        <f>IF(Q645=1,(1+sales_growth)^(Q644-1),0)</f>
        <v/>
      </c>
      <c r="R648">
        <f>IF(R645=1,(1+sales_growth)^(R644-1),0)</f>
        <v/>
      </c>
    </row>
    <row r="649">
      <c r="A649" t="inlineStr">
        <is>
          <t>Sales</t>
        </is>
      </c>
      <c r="C649">
        <f>C647*C648</f>
        <v/>
      </c>
      <c r="D649">
        <f>D647*D648</f>
        <v/>
      </c>
      <c r="E649">
        <f>E647*E648</f>
        <v/>
      </c>
      <c r="F649">
        <f>F647*F648</f>
        <v/>
      </c>
      <c r="G649">
        <f>G647*G648</f>
        <v/>
      </c>
      <c r="H649">
        <f>H647*H648</f>
        <v/>
      </c>
      <c r="I649">
        <f>I647*I648</f>
        <v/>
      </c>
      <c r="J649">
        <f>J647*J648</f>
        <v/>
      </c>
      <c r="K649">
        <f>K647*K648</f>
        <v/>
      </c>
      <c r="L649">
        <f>L647*L648</f>
        <v/>
      </c>
      <c r="M649">
        <f>M647*M648</f>
        <v/>
      </c>
      <c r="N649">
        <f>N647*N648</f>
        <v/>
      </c>
      <c r="O649">
        <f>O647*O648</f>
        <v/>
      </c>
      <c r="P649">
        <f>P647*P648</f>
        <v/>
      </c>
      <c r="Q649">
        <f>Q647*Q648</f>
        <v/>
      </c>
      <c r="R649">
        <f>R647*R648</f>
        <v/>
      </c>
    </row>
    <row r="650">
      <c r="A650" t="inlineStr">
        <is>
          <t>Gross margin</t>
        </is>
      </c>
      <c r="C650">
        <f>C649*$B$635</f>
        <v/>
      </c>
      <c r="D650">
        <f>D649*$B$635</f>
        <v/>
      </c>
      <c r="E650">
        <f>E649*$B$635</f>
        <v/>
      </c>
      <c r="F650">
        <f>F649*$B$635</f>
        <v/>
      </c>
      <c r="G650">
        <f>G649*$B$635</f>
        <v/>
      </c>
      <c r="H650">
        <f>H649*$B$635</f>
        <v/>
      </c>
      <c r="I650">
        <f>I649*$B$635</f>
        <v/>
      </c>
      <c r="J650">
        <f>J649*$B$635</f>
        <v/>
      </c>
      <c r="K650">
        <f>K649*$B$635</f>
        <v/>
      </c>
      <c r="L650">
        <f>L649*$B$635</f>
        <v/>
      </c>
      <c r="M650">
        <f>M649*$B$635</f>
        <v/>
      </c>
      <c r="N650">
        <f>N649*$B$635</f>
        <v/>
      </c>
      <c r="O650">
        <f>O649*$B$635</f>
        <v/>
      </c>
      <c r="P650">
        <f>P649*$B$635</f>
        <v/>
      </c>
      <c r="Q650">
        <f>Q649*$B$635</f>
        <v/>
      </c>
      <c r="R650">
        <f>R649*$B$635</f>
        <v/>
      </c>
    </row>
    <row r="651">
      <c r="A651" t="inlineStr">
        <is>
          <t>Wage index</t>
        </is>
      </c>
      <c r="C651">
        <f>IF(C645=1,(1+wage_inflation)^(C644-1),0)</f>
        <v/>
      </c>
      <c r="D651">
        <f>IF(D645=1,(1+wage_inflation)^(D644-1),0)</f>
        <v/>
      </c>
      <c r="E651">
        <f>IF(E645=1,(1+wage_inflation)^(E644-1),0)</f>
        <v/>
      </c>
      <c r="F651">
        <f>IF(F645=1,(1+wage_inflation)^(F644-1),0)</f>
        <v/>
      </c>
      <c r="G651">
        <f>IF(G645=1,(1+wage_inflation)^(G644-1),0)</f>
        <v/>
      </c>
      <c r="H651">
        <f>IF(H645=1,(1+wage_inflation)^(H644-1),0)</f>
        <v/>
      </c>
      <c r="I651">
        <f>IF(I645=1,(1+wage_inflation)^(I644-1),0)</f>
        <v/>
      </c>
      <c r="J651">
        <f>IF(J645=1,(1+wage_inflation)^(J644-1),0)</f>
        <v/>
      </c>
      <c r="K651">
        <f>IF(K645=1,(1+wage_inflation)^(K644-1),0)</f>
        <v/>
      </c>
      <c r="L651">
        <f>IF(L645=1,(1+wage_inflation)^(L644-1),0)</f>
        <v/>
      </c>
      <c r="M651">
        <f>IF(M645=1,(1+wage_inflation)^(M644-1),0)</f>
        <v/>
      </c>
      <c r="N651">
        <f>IF(N645=1,(1+wage_inflation)^(N644-1),0)</f>
        <v/>
      </c>
      <c r="O651">
        <f>IF(O645=1,(1+wage_inflation)^(O644-1),0)</f>
        <v/>
      </c>
      <c r="P651">
        <f>IF(P645=1,(1+wage_inflation)^(P644-1),0)</f>
        <v/>
      </c>
      <c r="Q651">
        <f>IF(Q645=1,(1+wage_inflation)^(Q644-1),0)</f>
        <v/>
      </c>
      <c r="R651">
        <f>IF(R645=1,(1+wage_inflation)^(R644-1),0)</f>
        <v/>
      </c>
    </row>
    <row r="652">
      <c r="A652" t="inlineStr">
        <is>
          <t>Payroll</t>
        </is>
      </c>
      <c r="C652">
        <f>(fixed_payroll*C645+variable_cost_per_k*C647/1000)*C651*$B$641</f>
        <v/>
      </c>
      <c r="D652">
        <f>(fixed_payroll*D645+variable_cost_per_k*D647/1000)*D651*$B$641</f>
        <v/>
      </c>
      <c r="E652">
        <f>(fixed_payroll*E645+variable_cost_per_k*E647/1000)*E651*$B$641</f>
        <v/>
      </c>
      <c r="F652">
        <f>(fixed_payroll*F645+variable_cost_per_k*F647/1000)*F651*$B$641</f>
        <v/>
      </c>
      <c r="G652">
        <f>(fixed_payroll*G645+variable_cost_per_k*G647/1000)*G651*$B$641</f>
        <v/>
      </c>
      <c r="H652">
        <f>(fixed_payroll*H645+variable_cost_per_k*H647/1000)*H651*$B$641</f>
        <v/>
      </c>
      <c r="I652">
        <f>(fixed_payroll*I645+variable_cost_per_k*I647/1000)*I651*$B$641</f>
        <v/>
      </c>
      <c r="J652">
        <f>(fixed_payroll*J645+variable_cost_per_k*J647/1000)*J651*$B$641</f>
        <v/>
      </c>
      <c r="K652">
        <f>(fixed_payroll*K645+variable_cost_per_k*K647/1000)*K651*$B$641</f>
        <v/>
      </c>
      <c r="L652">
        <f>(fixed_payroll*L645+variable_cost_per_k*L647/1000)*L651*$B$641</f>
        <v/>
      </c>
      <c r="M652">
        <f>(fixed_payroll*M645+variable_cost_per_k*M647/1000)*M651*$B$641</f>
        <v/>
      </c>
      <c r="N652">
        <f>(fixed_payroll*N645+variable_cost_per_k*N647/1000)*N651*$B$641</f>
        <v/>
      </c>
      <c r="O652">
        <f>(fixed_payroll*O645+variable_cost_per_k*O647/1000)*O651*$B$641</f>
        <v/>
      </c>
      <c r="P652">
        <f>(fixed_payroll*P645+variable_cost_per_k*P647/1000)*P651*$B$641</f>
        <v/>
      </c>
      <c r="Q652">
        <f>(fixed_payroll*Q645+variable_cost_per_k*Q647/1000)*Q651*$B$641</f>
        <v/>
      </c>
      <c r="R652">
        <f>(fixed_payroll*R645+variable_cost_per_k*R647/1000)*R651*$B$641</f>
        <v/>
      </c>
    </row>
    <row r="653">
      <c r="A653" t="inlineStr">
        <is>
          <t>Rent</t>
        </is>
      </c>
      <c r="C653">
        <f>$B$636*(1+IF(C644&gt;=6,rent_review_uplift,0))*C645*$B$640</f>
        <v/>
      </c>
      <c r="D653">
        <f>$B$636*(1+IF(D644&gt;=6,rent_review_uplift,0))*D645*$B$640</f>
        <v/>
      </c>
      <c r="E653">
        <f>$B$636*(1+IF(E644&gt;=6,rent_review_uplift,0))*E645*$B$640</f>
        <v/>
      </c>
      <c r="F653">
        <f>$B$636*(1+IF(F644&gt;=6,rent_review_uplift,0))*F645*$B$640</f>
        <v/>
      </c>
      <c r="G653">
        <f>$B$636*(1+IF(G644&gt;=6,rent_review_uplift,0))*G645*$B$640</f>
        <v/>
      </c>
      <c r="H653">
        <f>$B$636*(1+IF(H644&gt;=6,rent_review_uplift,0))*H645*$B$640</f>
        <v/>
      </c>
      <c r="I653">
        <f>$B$636*(1+IF(I644&gt;=6,rent_review_uplift,0))*I645*$B$640</f>
        <v/>
      </c>
      <c r="J653">
        <f>$B$636*(1+IF(J644&gt;=6,rent_review_uplift,0))*J645*$B$640</f>
        <v/>
      </c>
      <c r="K653">
        <f>$B$636*(1+IF(K644&gt;=6,rent_review_uplift,0))*K645*$B$640</f>
        <v/>
      </c>
      <c r="L653">
        <f>$B$636*(1+IF(L644&gt;=6,rent_review_uplift,0))*L645*$B$640</f>
        <v/>
      </c>
      <c r="M653">
        <f>$B$636*(1+IF(M644&gt;=6,rent_review_uplift,0))*M645*$B$640</f>
        <v/>
      </c>
      <c r="N653">
        <f>$B$636*(1+IF(N644&gt;=6,rent_review_uplift,0))*N645*$B$640</f>
        <v/>
      </c>
      <c r="O653">
        <f>$B$636*(1+IF(O644&gt;=6,rent_review_uplift,0))*O645*$B$640</f>
        <v/>
      </c>
      <c r="P653">
        <f>$B$636*(1+IF(P644&gt;=6,rent_review_uplift,0))*P645*$B$640</f>
        <v/>
      </c>
      <c r="Q653">
        <f>$B$636*(1+IF(Q644&gt;=6,rent_review_uplift,0))*Q645*$B$640</f>
        <v/>
      </c>
      <c r="R653">
        <f>$B$636*(1+IF(R644&gt;=6,rent_review_uplift,0))*R645*$B$640</f>
        <v/>
      </c>
    </row>
    <row r="654">
      <c r="A654" t="inlineStr">
        <is>
          <t>Cost index</t>
        </is>
      </c>
      <c r="C654">
        <f>IF(C645=1,(1+cost_inflation)^(C644-1),0)</f>
        <v/>
      </c>
      <c r="D654">
        <f>IF(D645=1,(1+cost_inflation)^(D644-1),0)</f>
        <v/>
      </c>
      <c r="E654">
        <f>IF(E645=1,(1+cost_inflation)^(E644-1),0)</f>
        <v/>
      </c>
      <c r="F654">
        <f>IF(F645=1,(1+cost_inflation)^(F644-1),0)</f>
        <v/>
      </c>
      <c r="G654">
        <f>IF(G645=1,(1+cost_inflation)^(G644-1),0)</f>
        <v/>
      </c>
      <c r="H654">
        <f>IF(H645=1,(1+cost_inflation)^(H644-1),0)</f>
        <v/>
      </c>
      <c r="I654">
        <f>IF(I645=1,(1+cost_inflation)^(I644-1),0)</f>
        <v/>
      </c>
      <c r="J654">
        <f>IF(J645=1,(1+cost_inflation)^(J644-1),0)</f>
        <v/>
      </c>
      <c r="K654">
        <f>IF(K645=1,(1+cost_inflation)^(K644-1),0)</f>
        <v/>
      </c>
      <c r="L654">
        <f>IF(L645=1,(1+cost_inflation)^(L644-1),0)</f>
        <v/>
      </c>
      <c r="M654">
        <f>IF(M645=1,(1+cost_inflation)^(M644-1),0)</f>
        <v/>
      </c>
      <c r="N654">
        <f>IF(N645=1,(1+cost_inflation)^(N644-1),0)</f>
        <v/>
      </c>
      <c r="O654">
        <f>IF(O645=1,(1+cost_inflation)^(O644-1),0)</f>
        <v/>
      </c>
      <c r="P654">
        <f>IF(P645=1,(1+cost_inflation)^(P644-1),0)</f>
        <v/>
      </c>
      <c r="Q654">
        <f>IF(Q645=1,(1+cost_inflation)^(Q644-1),0)</f>
        <v/>
      </c>
      <c r="R654">
        <f>IF(R645=1,(1+cost_inflation)^(R644-1),0)</f>
        <v/>
      </c>
    </row>
    <row r="655">
      <c r="A655" t="inlineStr">
        <is>
          <t>Business rates</t>
        </is>
      </c>
      <c r="C655">
        <f>rateable_value*IF(rateable_value&lt;51000,rates_multiplier_rhl_small,IF(rateable_value&lt;500000,rates_multiplier_rhl_standard,rates_multiplier_high_value))*C654</f>
        <v/>
      </c>
      <c r="D655">
        <f>rateable_value*IF(rateable_value&lt;51000,rates_multiplier_rhl_small,IF(rateable_value&lt;500000,rates_multiplier_rhl_standard,rates_multiplier_high_value))*D654</f>
        <v/>
      </c>
      <c r="E655">
        <f>rateable_value*IF(rateable_value&lt;51000,rates_multiplier_rhl_small,IF(rateable_value&lt;500000,rates_multiplier_rhl_standard,rates_multiplier_high_value))*E654</f>
        <v/>
      </c>
      <c r="F655">
        <f>rateable_value*IF(rateable_value&lt;51000,rates_multiplier_rhl_small,IF(rateable_value&lt;500000,rates_multiplier_rhl_standard,rates_multiplier_high_value))*F654</f>
        <v/>
      </c>
      <c r="G655">
        <f>rateable_value*IF(rateable_value&lt;51000,rates_multiplier_rhl_small,IF(rateable_value&lt;500000,rates_multiplier_rhl_standard,rates_multiplier_high_value))*G654</f>
        <v/>
      </c>
      <c r="H655">
        <f>rateable_value*IF(rateable_value&lt;51000,rates_multiplier_rhl_small,IF(rateable_value&lt;500000,rates_multiplier_rhl_standard,rates_multiplier_high_value))*H654</f>
        <v/>
      </c>
      <c r="I655">
        <f>rateable_value*IF(rateable_value&lt;51000,rates_multiplier_rhl_small,IF(rateable_value&lt;500000,rates_multiplier_rhl_standard,rates_multiplier_high_value))*I654</f>
        <v/>
      </c>
      <c r="J655">
        <f>rateable_value*IF(rateable_value&lt;51000,rates_multiplier_rhl_small,IF(rateable_value&lt;500000,rates_multiplier_rhl_standard,rates_multiplier_high_value))*J654</f>
        <v/>
      </c>
      <c r="K655">
        <f>rateable_value*IF(rateable_value&lt;51000,rates_multiplier_rhl_small,IF(rateable_value&lt;500000,rates_multiplier_rhl_standard,rates_multiplier_high_value))*K654</f>
        <v/>
      </c>
      <c r="L655">
        <f>rateable_value*IF(rateable_value&lt;51000,rates_multiplier_rhl_small,IF(rateable_value&lt;500000,rates_multiplier_rhl_standard,rates_multiplier_high_value))*L654</f>
        <v/>
      </c>
      <c r="M655">
        <f>rateable_value*IF(rateable_value&lt;51000,rates_multiplier_rhl_small,IF(rateable_value&lt;500000,rates_multiplier_rhl_standard,rates_multiplier_high_value))*M654</f>
        <v/>
      </c>
      <c r="N655">
        <f>rateable_value*IF(rateable_value&lt;51000,rates_multiplier_rhl_small,IF(rateable_value&lt;500000,rates_multiplier_rhl_standard,rates_multiplier_high_value))*N654</f>
        <v/>
      </c>
      <c r="O655">
        <f>rateable_value*IF(rateable_value&lt;51000,rates_multiplier_rhl_small,IF(rateable_value&lt;500000,rates_multiplier_rhl_standard,rates_multiplier_high_value))*O654</f>
        <v/>
      </c>
      <c r="P655">
        <f>rateable_value*IF(rateable_value&lt;51000,rates_multiplier_rhl_small,IF(rateable_value&lt;500000,rates_multiplier_rhl_standard,rates_multiplier_high_value))*P654</f>
        <v/>
      </c>
      <c r="Q655">
        <f>rateable_value*IF(rateable_value&lt;51000,rates_multiplier_rhl_small,IF(rateable_value&lt;500000,rates_multiplier_rhl_standard,rates_multiplier_high_value))*Q654</f>
        <v/>
      </c>
      <c r="R655">
        <f>rateable_value*IF(rateable_value&lt;51000,rates_multiplier_rhl_small,IF(rateable_value&lt;500000,rates_multiplier_rhl_standard,rates_multiplier_high_value))*R654</f>
        <v/>
      </c>
    </row>
    <row r="656">
      <c r="A656" t="inlineStr">
        <is>
          <t>Service charge, utilities, insurance</t>
        </is>
      </c>
      <c r="C656">
        <f>occupancy_other_psf*area_sqft*C654</f>
        <v/>
      </c>
      <c r="D656">
        <f>occupancy_other_psf*area_sqft*D654</f>
        <v/>
      </c>
      <c r="E656">
        <f>occupancy_other_psf*area_sqft*E654</f>
        <v/>
      </c>
      <c r="F656">
        <f>occupancy_other_psf*area_sqft*F654</f>
        <v/>
      </c>
      <c r="G656">
        <f>occupancy_other_psf*area_sqft*G654</f>
        <v/>
      </c>
      <c r="H656">
        <f>occupancy_other_psf*area_sqft*H654</f>
        <v/>
      </c>
      <c r="I656">
        <f>occupancy_other_psf*area_sqft*I654</f>
        <v/>
      </c>
      <c r="J656">
        <f>occupancy_other_psf*area_sqft*J654</f>
        <v/>
      </c>
      <c r="K656">
        <f>occupancy_other_psf*area_sqft*K654</f>
        <v/>
      </c>
      <c r="L656">
        <f>occupancy_other_psf*area_sqft*L654</f>
        <v/>
      </c>
      <c r="M656">
        <f>occupancy_other_psf*area_sqft*M654</f>
        <v/>
      </c>
      <c r="N656">
        <f>occupancy_other_psf*area_sqft*N654</f>
        <v/>
      </c>
      <c r="O656">
        <f>occupancy_other_psf*area_sqft*O654</f>
        <v/>
      </c>
      <c r="P656">
        <f>occupancy_other_psf*area_sqft*P654</f>
        <v/>
      </c>
      <c r="Q656">
        <f>occupancy_other_psf*area_sqft*Q654</f>
        <v/>
      </c>
      <c r="R656">
        <f>occupancy_other_psf*area_sqft*R654</f>
        <v/>
      </c>
    </row>
    <row r="657">
      <c r="A657" t="inlineStr">
        <is>
          <t>Other store opex</t>
        </is>
      </c>
      <c r="C657">
        <f>C649*other_opex_pct_sales</f>
        <v/>
      </c>
      <c r="D657">
        <f>D649*other_opex_pct_sales</f>
        <v/>
      </c>
      <c r="E657">
        <f>E649*other_opex_pct_sales</f>
        <v/>
      </c>
      <c r="F657">
        <f>F649*other_opex_pct_sales</f>
        <v/>
      </c>
      <c r="G657">
        <f>G649*other_opex_pct_sales</f>
        <v/>
      </c>
      <c r="H657">
        <f>H649*other_opex_pct_sales</f>
        <v/>
      </c>
      <c r="I657">
        <f>I649*other_opex_pct_sales</f>
        <v/>
      </c>
      <c r="J657">
        <f>J649*other_opex_pct_sales</f>
        <v/>
      </c>
      <c r="K657">
        <f>K649*other_opex_pct_sales</f>
        <v/>
      </c>
      <c r="L657">
        <f>L649*other_opex_pct_sales</f>
        <v/>
      </c>
      <c r="M657">
        <f>M649*other_opex_pct_sales</f>
        <v/>
      </c>
      <c r="N657">
        <f>N649*other_opex_pct_sales</f>
        <v/>
      </c>
      <c r="O657">
        <f>O649*other_opex_pct_sales</f>
        <v/>
      </c>
      <c r="P657">
        <f>P649*other_opex_pct_sales</f>
        <v/>
      </c>
      <c r="Q657">
        <f>Q649*other_opex_pct_sales</f>
        <v/>
      </c>
      <c r="R657">
        <f>R649*other_opex_pct_sales</f>
        <v/>
      </c>
    </row>
    <row r="658">
      <c r="A658" t="inlineStr">
        <is>
          <t>Store EBITDA (4-wall)</t>
        </is>
      </c>
      <c r="C658">
        <f>C650-C652-C653-C655-C656-C657</f>
        <v/>
      </c>
      <c r="D658">
        <f>D650-D652-D653-D655-D656-D657</f>
        <v/>
      </c>
      <c r="E658">
        <f>E650-E652-E653-E655-E656-E657</f>
        <v/>
      </c>
      <c r="F658">
        <f>F650-F652-F653-F655-F656-F657</f>
        <v/>
      </c>
      <c r="G658">
        <f>G650-G652-G653-G655-G656-G657</f>
        <v/>
      </c>
      <c r="H658">
        <f>H650-H652-H653-H655-H656-H657</f>
        <v/>
      </c>
      <c r="I658">
        <f>I650-I652-I653-I655-I656-I657</f>
        <v/>
      </c>
      <c r="J658">
        <f>J650-J652-J653-J655-J656-J657</f>
        <v/>
      </c>
      <c r="K658">
        <f>K650-K652-K653-K655-K656-K657</f>
        <v/>
      </c>
      <c r="L658">
        <f>L650-L652-L653-L655-L656-L657</f>
        <v/>
      </c>
      <c r="M658">
        <f>M650-M652-M653-M655-M656-M657</f>
        <v/>
      </c>
      <c r="N658">
        <f>N650-N652-N653-N655-N656-N657</f>
        <v/>
      </c>
      <c r="O658">
        <f>O650-O652-O653-O655-O656-O657</f>
        <v/>
      </c>
      <c r="P658">
        <f>P650-P652-P653-P655-P656-P657</f>
        <v/>
      </c>
      <c r="Q658">
        <f>Q650-Q652-Q653-Q655-Q656-Q657</f>
        <v/>
      </c>
      <c r="R658">
        <f>R650-R652-R653-R655-R656-R657</f>
        <v/>
      </c>
    </row>
    <row r="659">
      <c r="A659" t="inlineStr">
        <is>
          <t>Pre-opening costs</t>
        </is>
      </c>
      <c r="C659">
        <f>IF(C644=0,pre_opening_costs,0)</f>
        <v/>
      </c>
      <c r="D659">
        <f>IF(D644=0,pre_opening_costs,0)</f>
        <v/>
      </c>
      <c r="E659">
        <f>IF(E644=0,pre_opening_costs,0)</f>
        <v/>
      </c>
      <c r="F659">
        <f>IF(F644=0,pre_opening_costs,0)</f>
        <v/>
      </c>
      <c r="G659">
        <f>IF(G644=0,pre_opening_costs,0)</f>
        <v/>
      </c>
      <c r="H659">
        <f>IF(H644=0,pre_opening_costs,0)</f>
        <v/>
      </c>
      <c r="I659">
        <f>IF(I644=0,pre_opening_costs,0)</f>
        <v/>
      </c>
      <c r="J659">
        <f>IF(J644=0,pre_opening_costs,0)</f>
        <v/>
      </c>
      <c r="K659">
        <f>IF(K644=0,pre_opening_costs,0)</f>
        <v/>
      </c>
      <c r="L659">
        <f>IF(L644=0,pre_opening_costs,0)</f>
        <v/>
      </c>
      <c r="M659">
        <f>IF(M644=0,pre_opening_costs,0)</f>
        <v/>
      </c>
      <c r="N659">
        <f>IF(N644=0,pre_opening_costs,0)</f>
        <v/>
      </c>
      <c r="O659">
        <f>IF(O644=0,pre_opening_costs,0)</f>
        <v/>
      </c>
      <c r="P659">
        <f>IF(P644=0,pre_opening_costs,0)</f>
        <v/>
      </c>
      <c r="Q659">
        <f>IF(Q644=0,pre_opening_costs,0)</f>
        <v/>
      </c>
      <c r="R659">
        <f>IF(R644=0,pre_opening_costs,0)</f>
        <v/>
      </c>
    </row>
    <row r="660">
      <c r="A660" t="inlineStr">
        <is>
          <t>Fit-out capex</t>
        </is>
      </c>
      <c r="C660">
        <f>IF(C644=0,$B$637,0)</f>
        <v/>
      </c>
      <c r="D660">
        <f>IF(D644=0,$B$637,0)</f>
        <v/>
      </c>
      <c r="E660">
        <f>IF(E644=0,$B$637,0)</f>
        <v/>
      </c>
      <c r="F660">
        <f>IF(F644=0,$B$637,0)</f>
        <v/>
      </c>
      <c r="G660">
        <f>IF(G644=0,$B$637,0)</f>
        <v/>
      </c>
      <c r="H660">
        <f>IF(H644=0,$B$637,0)</f>
        <v/>
      </c>
      <c r="I660">
        <f>IF(I644=0,$B$637,0)</f>
        <v/>
      </c>
      <c r="J660">
        <f>IF(J644=0,$B$637,0)</f>
        <v/>
      </c>
      <c r="K660">
        <f>IF(K644=0,$B$637,0)</f>
        <v/>
      </c>
      <c r="L660">
        <f>IF(L644=0,$B$637,0)</f>
        <v/>
      </c>
      <c r="M660">
        <f>IF(M644=0,$B$637,0)</f>
        <v/>
      </c>
      <c r="N660">
        <f>IF(N644=0,$B$637,0)</f>
        <v/>
      </c>
      <c r="O660">
        <f>IF(O644=0,$B$637,0)</f>
        <v/>
      </c>
      <c r="P660">
        <f>IF(P644=0,$B$637,0)</f>
        <v/>
      </c>
      <c r="Q660">
        <f>IF(Q644=0,$B$637,0)</f>
        <v/>
      </c>
      <c r="R660">
        <f>IF(R644=0,$B$637,0)</f>
        <v/>
      </c>
    </row>
    <row r="661">
      <c r="A661" t="inlineStr">
        <is>
          <t>Tax depreciation</t>
        </is>
      </c>
      <c r="C661">
        <f>IF(AND(C644&gt;=1,C644&lt;=tax_depreciation_years,C644&lt;=lease_term_years),$B$637/tax_depreciation_years,0)</f>
        <v/>
      </c>
      <c r="D661">
        <f>IF(AND(D644&gt;=1,D644&lt;=tax_depreciation_years,D644&lt;=lease_term_years),$B$637/tax_depreciation_years,0)</f>
        <v/>
      </c>
      <c r="E661">
        <f>IF(AND(E644&gt;=1,E644&lt;=tax_depreciation_years,E644&lt;=lease_term_years),$B$637/tax_depreciation_years,0)</f>
        <v/>
      </c>
      <c r="F661">
        <f>IF(AND(F644&gt;=1,F644&lt;=tax_depreciation_years,F644&lt;=lease_term_years),$B$637/tax_depreciation_years,0)</f>
        <v/>
      </c>
      <c r="G661">
        <f>IF(AND(G644&gt;=1,G644&lt;=tax_depreciation_years,G644&lt;=lease_term_years),$B$637/tax_depreciation_years,0)</f>
        <v/>
      </c>
      <c r="H661">
        <f>IF(AND(H644&gt;=1,H644&lt;=tax_depreciation_years,H644&lt;=lease_term_years),$B$637/tax_depreciation_years,0)</f>
        <v/>
      </c>
      <c r="I661">
        <f>IF(AND(I644&gt;=1,I644&lt;=tax_depreciation_years,I644&lt;=lease_term_years),$B$637/tax_depreciation_years,0)</f>
        <v/>
      </c>
      <c r="J661">
        <f>IF(AND(J644&gt;=1,J644&lt;=tax_depreciation_years,J644&lt;=lease_term_years),$B$637/tax_depreciation_years,0)</f>
        <v/>
      </c>
      <c r="K661">
        <f>IF(AND(K644&gt;=1,K644&lt;=tax_depreciation_years,K644&lt;=lease_term_years),$B$637/tax_depreciation_years,0)</f>
        <v/>
      </c>
      <c r="L661">
        <f>IF(AND(L644&gt;=1,L644&lt;=tax_depreciation_years,L644&lt;=lease_term_years),$B$637/tax_depreciation_years,0)</f>
        <v/>
      </c>
      <c r="M661">
        <f>IF(AND(M644&gt;=1,M644&lt;=tax_depreciation_years,M644&lt;=lease_term_years),$B$637/tax_depreciation_years,0)</f>
        <v/>
      </c>
      <c r="N661">
        <f>IF(AND(N644&gt;=1,N644&lt;=tax_depreciation_years,N644&lt;=lease_term_years),$B$637/tax_depreciation_years,0)</f>
        <v/>
      </c>
      <c r="O661">
        <f>IF(AND(O644&gt;=1,O644&lt;=tax_depreciation_years,O644&lt;=lease_term_years),$B$637/tax_depreciation_years,0)</f>
        <v/>
      </c>
      <c r="P661">
        <f>IF(AND(P644&gt;=1,P644&lt;=tax_depreciation_years,P644&lt;=lease_term_years),$B$637/tax_depreciation_years,0)</f>
        <v/>
      </c>
      <c r="Q661">
        <f>IF(AND(Q644&gt;=1,Q644&lt;=tax_depreciation_years,Q644&lt;=lease_term_years),$B$637/tax_depreciation_years,0)</f>
        <v/>
      </c>
      <c r="R661">
        <f>IF(AND(R644&gt;=1,R644&lt;=tax_depreciation_years,R644&lt;=lease_term_years),$B$637/tax_depreciation_years,0)</f>
        <v/>
      </c>
    </row>
    <row r="662">
      <c r="A662" t="inlineStr">
        <is>
          <t>Dilapidations</t>
        </is>
      </c>
      <c r="C662">
        <f>IF(C644=lease_term_years,dilapidations_at_exit,0)</f>
        <v/>
      </c>
      <c r="D662">
        <f>IF(D644=lease_term_years,dilapidations_at_exit,0)</f>
        <v/>
      </c>
      <c r="E662">
        <f>IF(E644=lease_term_years,dilapidations_at_exit,0)</f>
        <v/>
      </c>
      <c r="F662">
        <f>IF(F644=lease_term_years,dilapidations_at_exit,0)</f>
        <v/>
      </c>
      <c r="G662">
        <f>IF(G644=lease_term_years,dilapidations_at_exit,0)</f>
        <v/>
      </c>
      <c r="H662">
        <f>IF(H644=lease_term_years,dilapidations_at_exit,0)</f>
        <v/>
      </c>
      <c r="I662">
        <f>IF(I644=lease_term_years,dilapidations_at_exit,0)</f>
        <v/>
      </c>
      <c r="J662">
        <f>IF(J644=lease_term_years,dilapidations_at_exit,0)</f>
        <v/>
      </c>
      <c r="K662">
        <f>IF(K644=lease_term_years,dilapidations_at_exit,0)</f>
        <v/>
      </c>
      <c r="L662">
        <f>IF(L644=lease_term_years,dilapidations_at_exit,0)</f>
        <v/>
      </c>
      <c r="M662">
        <f>IF(M644=lease_term_years,dilapidations_at_exit,0)</f>
        <v/>
      </c>
      <c r="N662">
        <f>IF(N644=lease_term_years,dilapidations_at_exit,0)</f>
        <v/>
      </c>
      <c r="O662">
        <f>IF(O644=lease_term_years,dilapidations_at_exit,0)</f>
        <v/>
      </c>
      <c r="P662">
        <f>IF(P644=lease_term_years,dilapidations_at_exit,0)</f>
        <v/>
      </c>
      <c r="Q662">
        <f>IF(Q644=lease_term_years,dilapidations_at_exit,0)</f>
        <v/>
      </c>
      <c r="R662">
        <f>IF(R644=lease_term_years,dilapidations_at_exit,0)</f>
        <v/>
      </c>
    </row>
    <row r="663">
      <c r="A663" t="inlineStr">
        <is>
          <t>Taxable profit</t>
        </is>
      </c>
      <c r="C663">
        <f>C658-C659-C661-C662</f>
        <v/>
      </c>
      <c r="D663">
        <f>D658-D659-D661-D662</f>
        <v/>
      </c>
      <c r="E663">
        <f>E658-E659-E661-E662</f>
        <v/>
      </c>
      <c r="F663">
        <f>F658-F659-F661-F662</f>
        <v/>
      </c>
      <c r="G663">
        <f>G658-G659-G661-G662</f>
        <v/>
      </c>
      <c r="H663">
        <f>H658-H659-H661-H662</f>
        <v/>
      </c>
      <c r="I663">
        <f>I658-I659-I661-I662</f>
        <v/>
      </c>
      <c r="J663">
        <f>J658-J659-J661-J662</f>
        <v/>
      </c>
      <c r="K663">
        <f>K658-K659-K661-K662</f>
        <v/>
      </c>
      <c r="L663">
        <f>L658-L659-L661-L662</f>
        <v/>
      </c>
      <c r="M663">
        <f>M658-M659-M661-M662</f>
        <v/>
      </c>
      <c r="N663">
        <f>N658-N659-N661-N662</f>
        <v/>
      </c>
      <c r="O663">
        <f>O658-O659-O661-O662</f>
        <v/>
      </c>
      <c r="P663">
        <f>P658-P659-P661-P662</f>
        <v/>
      </c>
      <c r="Q663">
        <f>Q658-Q659-Q661-Q662</f>
        <v/>
      </c>
      <c r="R663">
        <f>R658-R659-R661-R662</f>
        <v/>
      </c>
    </row>
    <row r="664">
      <c r="A664" t="inlineStr">
        <is>
          <t>Tax (negative = group relief)</t>
        </is>
      </c>
      <c r="C664">
        <f>C663*tax_rate</f>
        <v/>
      </c>
      <c r="D664">
        <f>D663*tax_rate</f>
        <v/>
      </c>
      <c r="E664">
        <f>E663*tax_rate</f>
        <v/>
      </c>
      <c r="F664">
        <f>F663*tax_rate</f>
        <v/>
      </c>
      <c r="G664">
        <f>G663*tax_rate</f>
        <v/>
      </c>
      <c r="H664">
        <f>H663*tax_rate</f>
        <v/>
      </c>
      <c r="I664">
        <f>I663*tax_rate</f>
        <v/>
      </c>
      <c r="J664">
        <f>J663*tax_rate</f>
        <v/>
      </c>
      <c r="K664">
        <f>K663*tax_rate</f>
        <v/>
      </c>
      <c r="L664">
        <f>L663*tax_rate</f>
        <v/>
      </c>
      <c r="M664">
        <f>M663*tax_rate</f>
        <v/>
      </c>
      <c r="N664">
        <f>N663*tax_rate</f>
        <v/>
      </c>
      <c r="O664">
        <f>O663*tax_rate</f>
        <v/>
      </c>
      <c r="P664">
        <f>P663*tax_rate</f>
        <v/>
      </c>
      <c r="Q664">
        <f>Q663*tax_rate</f>
        <v/>
      </c>
      <c r="R664">
        <f>R663*tax_rate</f>
        <v/>
      </c>
    </row>
    <row r="665">
      <c r="A665" t="inlineStr">
        <is>
          <t>Stock held</t>
        </is>
      </c>
      <c r="C665">
        <f>IF(C644&lt;lease_term_years,stock_pct_sales*D649,0)</f>
        <v/>
      </c>
      <c r="D665">
        <f>IF(D644&lt;lease_term_years,stock_pct_sales*E649,0)</f>
        <v/>
      </c>
      <c r="E665">
        <f>IF(E644&lt;lease_term_years,stock_pct_sales*F649,0)</f>
        <v/>
      </c>
      <c r="F665">
        <f>IF(F644&lt;lease_term_years,stock_pct_sales*G649,0)</f>
        <v/>
      </c>
      <c r="G665">
        <f>IF(G644&lt;lease_term_years,stock_pct_sales*H649,0)</f>
        <v/>
      </c>
      <c r="H665">
        <f>IF(H644&lt;lease_term_years,stock_pct_sales*I649,0)</f>
        <v/>
      </c>
      <c r="I665">
        <f>IF(I644&lt;lease_term_years,stock_pct_sales*J649,0)</f>
        <v/>
      </c>
      <c r="J665">
        <f>IF(J644&lt;lease_term_years,stock_pct_sales*K649,0)</f>
        <v/>
      </c>
      <c r="K665">
        <f>IF(K644&lt;lease_term_years,stock_pct_sales*L649,0)</f>
        <v/>
      </c>
      <c r="L665">
        <f>IF(L644&lt;lease_term_years,stock_pct_sales*M649,0)</f>
        <v/>
      </c>
      <c r="M665">
        <f>IF(M644&lt;lease_term_years,stock_pct_sales*N649,0)</f>
        <v/>
      </c>
      <c r="N665">
        <f>IF(N644&lt;lease_term_years,stock_pct_sales*O649,0)</f>
        <v/>
      </c>
      <c r="O665">
        <f>IF(O644&lt;lease_term_years,stock_pct_sales*P649,0)</f>
        <v/>
      </c>
      <c r="P665">
        <f>IF(P644&lt;lease_term_years,stock_pct_sales*Q649,0)</f>
        <v/>
      </c>
      <c r="Q665">
        <f>IF(Q644&lt;lease_term_years,stock_pct_sales*R649,0)</f>
        <v/>
      </c>
      <c r="R665">
        <f>0</f>
        <v/>
      </c>
    </row>
    <row r="666">
      <c r="A666" t="inlineStr">
        <is>
          <t>Change in stock</t>
        </is>
      </c>
      <c r="C666">
        <f>C665</f>
        <v/>
      </c>
      <c r="D666">
        <f>D665-C665</f>
        <v/>
      </c>
      <c r="E666">
        <f>E665-D665</f>
        <v/>
      </c>
      <c r="F666">
        <f>F665-E665</f>
        <v/>
      </c>
      <c r="G666">
        <f>G665-F665</f>
        <v/>
      </c>
      <c r="H666">
        <f>H665-G665</f>
        <v/>
      </c>
      <c r="I666">
        <f>I665-H665</f>
        <v/>
      </c>
      <c r="J666">
        <f>J665-I665</f>
        <v/>
      </c>
      <c r="K666">
        <f>K665-J665</f>
        <v/>
      </c>
      <c r="L666">
        <f>L665-K665</f>
        <v/>
      </c>
      <c r="M666">
        <f>M665-L665</f>
        <v/>
      </c>
      <c r="N666">
        <f>N665-M665</f>
        <v/>
      </c>
      <c r="O666">
        <f>O665-N665</f>
        <v/>
      </c>
      <c r="P666">
        <f>P665-O665</f>
        <v/>
      </c>
      <c r="Q666">
        <f>Q665-P665</f>
        <v/>
      </c>
      <c r="R666">
        <f>R665-Q665</f>
        <v/>
      </c>
    </row>
    <row r="667">
      <c r="A667" t="inlineStr">
        <is>
          <t>Free cash flow</t>
        </is>
      </c>
      <c r="C667">
        <f>C658-C659-C664-C660-C666-C662</f>
        <v/>
      </c>
      <c r="D667">
        <f>D658-D659-D664-D660-D666-D662</f>
        <v/>
      </c>
      <c r="E667">
        <f>E658-E659-E664-E660-E666-E662</f>
        <v/>
      </c>
      <c r="F667">
        <f>F658-F659-F664-F660-F666-F662</f>
        <v/>
      </c>
      <c r="G667">
        <f>G658-G659-G664-G660-G666-G662</f>
        <v/>
      </c>
      <c r="H667">
        <f>H658-H659-H664-H660-H666-H662</f>
        <v/>
      </c>
      <c r="I667">
        <f>I658-I659-I664-I660-I666-I662</f>
        <v/>
      </c>
      <c r="J667">
        <f>J658-J659-J664-J660-J666-J662</f>
        <v/>
      </c>
      <c r="K667">
        <f>K658-K659-K664-K660-K666-K662</f>
        <v/>
      </c>
      <c r="L667">
        <f>L658-L659-L664-L660-L666-L662</f>
        <v/>
      </c>
      <c r="M667">
        <f>M658-M659-M664-M660-M666-M662</f>
        <v/>
      </c>
      <c r="N667">
        <f>N658-N659-N664-N660-N666-N662</f>
        <v/>
      </c>
      <c r="O667">
        <f>O658-O659-O664-O660-O666-O662</f>
        <v/>
      </c>
      <c r="P667">
        <f>P658-P659-P664-P660-P666-P662</f>
        <v/>
      </c>
      <c r="Q667">
        <f>Q658-Q659-Q664-Q660-Q666-Q662</f>
        <v/>
      </c>
      <c r="R667">
        <f>R658-R659-R664-R660-R666-R662</f>
        <v/>
      </c>
    </row>
    <row r="668">
      <c r="A668" t="inlineStr">
        <is>
          <t>Discount factor</t>
        </is>
      </c>
      <c r="C668">
        <f>1/(1+discount_rate)^C644</f>
        <v/>
      </c>
      <c r="D668">
        <f>1/(1+discount_rate)^D644</f>
        <v/>
      </c>
      <c r="E668">
        <f>1/(1+discount_rate)^E644</f>
        <v/>
      </c>
      <c r="F668">
        <f>1/(1+discount_rate)^F644</f>
        <v/>
      </c>
      <c r="G668">
        <f>1/(1+discount_rate)^G644</f>
        <v/>
      </c>
      <c r="H668">
        <f>1/(1+discount_rate)^H644</f>
        <v/>
      </c>
      <c r="I668">
        <f>1/(1+discount_rate)^I644</f>
        <v/>
      </c>
      <c r="J668">
        <f>1/(1+discount_rate)^J644</f>
        <v/>
      </c>
      <c r="K668">
        <f>1/(1+discount_rate)^K644</f>
        <v/>
      </c>
      <c r="L668">
        <f>1/(1+discount_rate)^L644</f>
        <v/>
      </c>
      <c r="M668">
        <f>1/(1+discount_rate)^M644</f>
        <v/>
      </c>
      <c r="N668">
        <f>1/(1+discount_rate)^N644</f>
        <v/>
      </c>
      <c r="O668">
        <f>1/(1+discount_rate)^O644</f>
        <v/>
      </c>
      <c r="P668">
        <f>1/(1+discount_rate)^P644</f>
        <v/>
      </c>
      <c r="Q668">
        <f>1/(1+discount_rate)^Q644</f>
        <v/>
      </c>
      <c r="R668">
        <f>1/(1+discount_rate)^R644</f>
        <v/>
      </c>
    </row>
    <row r="669">
      <c r="A669" t="inlineStr">
        <is>
          <t>Present value</t>
        </is>
      </c>
      <c r="C669">
        <f>C667*C668</f>
        <v/>
      </c>
      <c r="D669">
        <f>D667*D668</f>
        <v/>
      </c>
      <c r="E669">
        <f>E667*E668</f>
        <v/>
      </c>
      <c r="F669">
        <f>F667*F668</f>
        <v/>
      </c>
      <c r="G669">
        <f>G667*G668</f>
        <v/>
      </c>
      <c r="H669">
        <f>H667*H668</f>
        <v/>
      </c>
      <c r="I669">
        <f>I667*I668</f>
        <v/>
      </c>
      <c r="J669">
        <f>J667*J668</f>
        <v/>
      </c>
      <c r="K669">
        <f>K667*K668</f>
        <v/>
      </c>
      <c r="L669">
        <f>L667*L668</f>
        <v/>
      </c>
      <c r="M669">
        <f>M667*M668</f>
        <v/>
      </c>
      <c r="N669">
        <f>N667*N668</f>
        <v/>
      </c>
      <c r="O669">
        <f>O667*O668</f>
        <v/>
      </c>
      <c r="P669">
        <f>P667*P668</f>
        <v/>
      </c>
      <c r="Q669">
        <f>Q667*Q668</f>
        <v/>
      </c>
      <c r="R669">
        <f>R667*R668</f>
        <v/>
      </c>
    </row>
    <row r="670">
      <c r="A670" t="inlineStr">
        <is>
          <t>Cumulative cash flow</t>
        </is>
      </c>
      <c r="C670">
        <f>C667</f>
        <v/>
      </c>
      <c r="D670">
        <f>C670+D667</f>
        <v/>
      </c>
      <c r="E670">
        <f>D670+E667</f>
        <v/>
      </c>
      <c r="F670">
        <f>E670+F667</f>
        <v/>
      </c>
      <c r="G670">
        <f>F670+G667</f>
        <v/>
      </c>
      <c r="H670">
        <f>G670+H667</f>
        <v/>
      </c>
      <c r="I670">
        <f>H670+I667</f>
        <v/>
      </c>
      <c r="J670">
        <f>I670+J667</f>
        <v/>
      </c>
      <c r="K670">
        <f>J670+K667</f>
        <v/>
      </c>
      <c r="L670">
        <f>K670+L667</f>
        <v/>
      </c>
      <c r="M670">
        <f>L670+M667</f>
        <v/>
      </c>
      <c r="N670">
        <f>M670+N667</f>
        <v/>
      </c>
      <c r="O670">
        <f>N670+O667</f>
        <v/>
      </c>
      <c r="P670">
        <f>O670+P667</f>
        <v/>
      </c>
      <c r="Q670">
        <f>P670+Q667</f>
        <v/>
      </c>
      <c r="R670">
        <f>Q670+R667</f>
        <v/>
      </c>
    </row>
    <row r="671">
      <c r="A671" t="inlineStr">
        <is>
          <t>Payback helper (months)</t>
        </is>
      </c>
      <c r="C671">
        <f>0</f>
        <v/>
      </c>
      <c r="D671">
        <f>IF(AND(C670&lt;0,D670&gt;=0),(D644-1+(-C670)/D667)*12,0)</f>
        <v/>
      </c>
      <c r="E671">
        <f>IF(AND(D670&lt;0,E670&gt;=0),(E644-1+(-D670)/E667)*12,0)</f>
        <v/>
      </c>
      <c r="F671">
        <f>IF(AND(E670&lt;0,F670&gt;=0),(F644-1+(-E670)/F667)*12,0)</f>
        <v/>
      </c>
      <c r="G671">
        <f>IF(AND(F670&lt;0,G670&gt;=0),(G644-1+(-F670)/G667)*12,0)</f>
        <v/>
      </c>
      <c r="H671">
        <f>IF(AND(G670&lt;0,H670&gt;=0),(H644-1+(-G670)/H667)*12,0)</f>
        <v/>
      </c>
      <c r="I671">
        <f>IF(AND(H670&lt;0,I670&gt;=0),(I644-1+(-H670)/I667)*12,0)</f>
        <v/>
      </c>
      <c r="J671">
        <f>IF(AND(I670&lt;0,J670&gt;=0),(J644-1+(-I670)/J667)*12,0)</f>
        <v/>
      </c>
      <c r="K671">
        <f>IF(AND(J670&lt;0,K670&gt;=0),(K644-1+(-J670)/K667)*12,0)</f>
        <v/>
      </c>
      <c r="L671">
        <f>IF(AND(K670&lt;0,L670&gt;=0),(L644-1+(-K670)/L667)*12,0)</f>
        <v/>
      </c>
      <c r="M671">
        <f>IF(AND(L670&lt;0,M670&gt;=0),(M644-1+(-L670)/M667)*12,0)</f>
        <v/>
      </c>
      <c r="N671">
        <f>IF(AND(M670&lt;0,N670&gt;=0),(N644-1+(-M670)/N667)*12,0)</f>
        <v/>
      </c>
      <c r="O671">
        <f>IF(AND(N670&lt;0,O670&gt;=0),(O644-1+(-N670)/O667)*12,0)</f>
        <v/>
      </c>
      <c r="P671">
        <f>IF(AND(O670&lt;0,P670&gt;=0),(P644-1+(-O670)/P667)*12,0)</f>
        <v/>
      </c>
      <c r="Q671">
        <f>IF(AND(P670&lt;0,Q670&gt;=0),(Q644-1+(-P670)/Q667)*12,0)</f>
        <v/>
      </c>
      <c r="R671">
        <f>IF(AND(Q670&lt;0,R670&gt;=0),(R644-1+(-Q670)/R667)*12,0)</f>
        <v/>
      </c>
    </row>
    <row r="673">
      <c r="A673" s="10" t="inlineStr">
        <is>
          <t>npv</t>
        </is>
      </c>
      <c r="B673" s="8">
        <f>SUM($C$669:$R$669)</f>
        <v/>
      </c>
    </row>
    <row r="674">
      <c r="A674" s="10" t="inlineStr">
        <is>
          <t>irr</t>
        </is>
      </c>
      <c r="B674" s="6">
        <f>IRR($C$667:$R$667)</f>
        <v/>
      </c>
    </row>
    <row r="675">
      <c r="A675" s="10" t="inlineStr">
        <is>
          <t>payback_months</t>
        </is>
      </c>
      <c r="B675" s="9">
        <f>IF(SUM($C$671:$R$671)=0,"n/a",SUM($C$671:$R$671))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2026-10-14T15:38:53Z</dcterms:created>
  <dcterms:modified xmlns:dcterms="http://purl.org/dc/terms/" xmlns:xsi="http://www.w3.org/2001/XMLSchema-instance" xsi:type="dcterms:W3CDTF">2026-10-14T15:38:53Z</dcterms:modified>
</cp:coreProperties>
</file>